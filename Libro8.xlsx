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xr:revisionPtr revIDLastSave="0" documentId="8_{0915CC17-B1AC-46CE-AAFA-D33FD12F316E}" xr6:coauthVersionLast="47" xr6:coauthVersionMax="47" xr10:uidLastSave="{00000000-0000-0000-0000-000000000000}"/>
  <bookViews>
    <workbookView xWindow="-110" yWindow="-110" windowWidth="19420" windowHeight="11500" xr2:uid="{F0C64A20-E1B8-4F08-86C0-8E93FAA27331}"/>
  </bookViews>
  <sheets>
    <sheet name="Maestro Programación" sheetId="1" r:id="rId1"/>
  </sheets>
  <externalReferences>
    <externalReference r:id="rId2"/>
  </externalReferences>
  <definedNames>
    <definedName name="_xlnm._FilterDatabase" localSheetId="0" hidden="1">'Maestro Programación'!$A$3:$G$420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19" i="1" l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420" i="1" s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422" i="1" s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B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Sierra, NaslyJulieth {PI}</author>
  </authors>
  <commentList>
    <comment ref="E3" authorId="0" shapeId="0" xr:uid="{0EFFD42B-7092-4838-A736-51B4D5055DA8}">
      <text>
        <r>
          <rPr>
            <b/>
            <sz val="9"/>
            <color indexed="81"/>
            <rFont val="Tahoma"/>
            <family val="2"/>
          </rPr>
          <t>Sierra, NaslyJulieth {PI}:</t>
        </r>
        <r>
          <rPr>
            <sz val="9"/>
            <color indexed="81"/>
            <rFont val="Tahoma"/>
            <family val="2"/>
          </rPr>
          <t xml:space="preserve">
ojo cambio de composicion por agotado de raquety</t>
        </r>
      </text>
    </comment>
  </commentList>
</comments>
</file>

<file path=xl/sharedStrings.xml><?xml version="1.0" encoding="utf-8"?>
<sst xmlns="http://schemas.openxmlformats.org/spreadsheetml/2006/main" count="1253" uniqueCount="187">
  <si>
    <t>PT</t>
  </si>
  <si>
    <t>Material</t>
  </si>
  <si>
    <t>Descripción</t>
  </si>
  <si>
    <t>Cant 1 Caja</t>
  </si>
  <si>
    <t xml:space="preserve">MARGARITA SURTIDO 600GX2X1 TER BX24X25G </t>
  </si>
  <si>
    <t>MARGARITA NATURAL 25GX74X1 MAQ</t>
  </si>
  <si>
    <t>C/U</t>
  </si>
  <si>
    <t>MARGARITA POLLO 25GX74X1 MAQ</t>
  </si>
  <si>
    <t>MARGARITA LIMON 25GX74X1 MAQ</t>
  </si>
  <si>
    <t>CAJA GAP DOBLE ALTURA SABRITAS NEGRA</t>
  </si>
  <si>
    <t>ETIQUETA MARCACION COLORES 100X60</t>
  </si>
  <si>
    <t>BAG MGTA SURTIDA 25GX24X2 497X430 NA TR2</t>
  </si>
  <si>
    <t xml:space="preserve">MARGARITA POLLO 4X1 BX12X25G+GTX2X25G   </t>
  </si>
  <si>
    <t xml:space="preserve">MARGARITA POLLO 25GX6X12 BX12 IMP       </t>
  </si>
  <si>
    <t>CINTA OFERTA FUCSIA 36MMX100MTS</t>
  </si>
  <si>
    <t>M</t>
  </si>
  <si>
    <t>BOLS TRANSP 235X400 POTINES</t>
  </si>
  <si>
    <t>ETIQUETA BLANCA 40X40 COD BARRAS</t>
  </si>
  <si>
    <t xml:space="preserve">DETODITO NATURAL 3X1 BX12X45G+GTX1X45G  </t>
  </si>
  <si>
    <t>DETODITO NATURAL 45GX6X12</t>
  </si>
  <si>
    <t>DETODITO NATURAL 45GX60X1</t>
  </si>
  <si>
    <t>CAJA MANZANA GOLD 500X333X330</t>
  </si>
  <si>
    <t xml:space="preserve">DETODITO BBQ 3X1 BX12X45G+GTX1X45G      </t>
  </si>
  <si>
    <t>DETODITO BBQ 45GX6X12</t>
  </si>
  <si>
    <t>DETODITO BBQ 45GX60X1</t>
  </si>
  <si>
    <t xml:space="preserve">MARGARITA LIMON 4X1 BX12X25G+GTX2X25G   </t>
  </si>
  <si>
    <t xml:space="preserve">MARGARITA LIMON 25GX6X12 BX12 IMP       </t>
  </si>
  <si>
    <t xml:space="preserve">CHOCLITOS LIMON 6X1 BX12X27G+GTX2 MY    </t>
  </si>
  <si>
    <t>CHOCLITOS LIMON 27GX9X12 IMP</t>
  </si>
  <si>
    <t>CHOCLITOS LIMON 27GX120X1 MAQ</t>
  </si>
  <si>
    <t>CAJA MORADA GOLD 500X333X222</t>
  </si>
  <si>
    <t xml:space="preserve">MARGARITA NATURAL 25GX6X12 BX12 IMP     </t>
  </si>
  <si>
    <t>CAJA E265 NARANJA</t>
  </si>
  <si>
    <t>BAG MGTA NAT IMP 25GX12 HAN 400X395 LC2 (Docena)</t>
  </si>
  <si>
    <t>BAG MGTA POLLO IMP 25X12 HAN 400X395 LC2 (Docena)</t>
  </si>
  <si>
    <t>SURTIDO SUPER LONCHERA 271GX7X1 BX12</t>
  </si>
  <si>
    <t xml:space="preserve">GUDIZ VAINILLA 28GX1X70                 </t>
  </si>
  <si>
    <t>CHEETOS NATURAL 15GX86X1 MAQ</t>
  </si>
  <si>
    <t>CHEETOS TRISSITOS PICANTE 20GX60X1</t>
  </si>
  <si>
    <t>SURTIDO SUPER LONCHERA 271GX10X1 BX12</t>
  </si>
  <si>
    <t>DORITOS MEGAQUESO 34GX80X1</t>
  </si>
  <si>
    <t>CAJA E240 MORADA</t>
  </si>
  <si>
    <t>BAG SUPER LONCHERA 271GX12 330X380 PCR</t>
  </si>
  <si>
    <t>SURTIDO MEGA LONCHERA 586GX3X1 BX22</t>
  </si>
  <si>
    <t>CHEESE TRIS QUESO 42GX96X1 SP</t>
  </si>
  <si>
    <t>CHOCLITOS PICANTE 27GX120X1 MAQ</t>
  </si>
  <si>
    <t>CHEETOS BOLIQUESO 20GX80X1 MAQ</t>
  </si>
  <si>
    <t>BAG MEGA LONCHERA 586GX22X3 450X445 TR</t>
  </si>
  <si>
    <t>SURTIDO ALEGRIA 338GX4X1</t>
  </si>
  <si>
    <t>CHEESE TRIS 30GX96X1 MAQ</t>
  </si>
  <si>
    <t>BAG LONCHERA D1 236GX10 330X360 PCR</t>
  </si>
  <si>
    <t>CAJA TROQUELADA</t>
  </si>
  <si>
    <t>SURTIDO ULTRA LONCHERA  1392GX2X1 BX50</t>
  </si>
  <si>
    <t>NATUCHIPS PLATANO VERD 28GX10X12 IMP</t>
  </si>
  <si>
    <t>NATUCHIPS PLATANO MADU 28GX10X12 IMP</t>
  </si>
  <si>
    <t>BAG ULTRALONCHERA 1392GX50 610X510 PCR</t>
  </si>
  <si>
    <t>CAJA E345 VERDE *SOLO PEDIR USADA*</t>
  </si>
  <si>
    <t>CAJA E208 ROJA</t>
  </si>
  <si>
    <t>BAG CHOCLITOS HANCO 27Gx12 315X320 LC2 (Docena)</t>
  </si>
  <si>
    <t>DORITOS MQUESO 34GX6X1 BX10X34G IMP</t>
  </si>
  <si>
    <t>DORITOS MEGAQUESO 34GX8X10 IMP</t>
  </si>
  <si>
    <t xml:space="preserve">CINTILLO QUE ENVIA COMERCIAL </t>
  </si>
  <si>
    <t>BAG DOR QUESO IMP 34GX10 HAN 334X390 LC2</t>
  </si>
  <si>
    <t>BAG IMP HANCO 400X395MM MGT 25 LIMON PR (Docena)</t>
  </si>
  <si>
    <t>BAG DTD BBQ TRAN 45GX12 HAN 555X412 TR2</t>
  </si>
  <si>
    <t>DETODITO BBQ 45GX6X6 BX6 IMP</t>
  </si>
  <si>
    <t>BAG DTD BBQ IMP 45GX6 HAN 370X412 TR2</t>
  </si>
  <si>
    <t>CHEETOS NATURAL 15GX8X12 BX12 IMP</t>
  </si>
  <si>
    <t>BAG CHEETOS NAT 15GX12 HAN 420X345</t>
  </si>
  <si>
    <t>CHEETOS BOLI QUESO 20GX6X12</t>
  </si>
  <si>
    <t>BAG CHEETOS BOLIQUESO 20GX12 HAN 480X360</t>
  </si>
  <si>
    <t>NATUCHIPS 4X1 BX12VER28G+BX12MAD28G PRSM</t>
  </si>
  <si>
    <t>CINTA OFERTA BLANCA 36MMX100MTS</t>
  </si>
  <si>
    <t>PROMO CHEETOSBO34G CHEETOSNT40G 108X6X1</t>
  </si>
  <si>
    <t>CHEETOS BOLI 34GX30X1 RM</t>
  </si>
  <si>
    <t>CHEETOS NATURAL 40GX40X1 CAJA</t>
  </si>
  <si>
    <t>PROMO CHEETOSNT40G CHEETOSBO34G 114X6X1</t>
  </si>
  <si>
    <t>CAJA ROJA GOLD 500X333X183</t>
  </si>
  <si>
    <t>PROMO CHEESETRI80G CHEETOSNAT40G 200X6X1</t>
  </si>
  <si>
    <t>CHEESE TRIS QUESO 80GX30X1 BH</t>
  </si>
  <si>
    <t>DETODITO NATURAL 45GX6X6 BX6 IMP</t>
  </si>
  <si>
    <t>BAG  DTD NAT IMP 45GX6 HAN 370X412 TR2</t>
  </si>
  <si>
    <t>SURTIDO LONCHERA D1 236GX7X1</t>
  </si>
  <si>
    <t>MANI MOTO NAT 44GX9X12 DISPX12</t>
  </si>
  <si>
    <t>MANIMOTO NATURAL 44GX108X1</t>
  </si>
  <si>
    <t>STICKER SELLO SEGURIDAD</t>
  </si>
  <si>
    <t>DISP MANI MOTO NAT 44GX12 RM</t>
  </si>
  <si>
    <t>MULTIPACK EXTRUIDOS 130GX14X1 BX6</t>
  </si>
  <si>
    <t>BAG EXTRUIDOS 130GX6 280X320 PCR</t>
  </si>
  <si>
    <t>CHOCLITOS LIMON 210X19X1 BH</t>
  </si>
  <si>
    <t>CHOCLITOS LIMON 210X19X1</t>
  </si>
  <si>
    <t>BOX TROQUELADA E240 MORADA</t>
  </si>
  <si>
    <t>MARGARITA POLLO 105GX18X1 BH</t>
  </si>
  <si>
    <t>MARGARITA POLLO 105GX18X1</t>
  </si>
  <si>
    <t>MARGARITA LIMON 105GX18X1 BH</t>
  </si>
  <si>
    <t>MARGARITA LIMON 105GX18X1</t>
  </si>
  <si>
    <t>DORITOS DINAM SURTIDO 240GX20X1 BX6 IMP</t>
  </si>
  <si>
    <t>DORITOS DINAMITA FH 40GX110X1</t>
  </si>
  <si>
    <t>DORITOS DINAMITA LIMON 40GX110X1</t>
  </si>
  <si>
    <t>BAG DOR DINAM FH Y LIM 40GX6 220X315 TR2(x6)</t>
  </si>
  <si>
    <t>MULTIPACK GUDIZ 224GX11X1 BX8</t>
  </si>
  <si>
    <t>BAG GUDIZ 224G 400X290 NC</t>
  </si>
  <si>
    <t>MULTIPACK PAPA 150X10X1 BX6</t>
  </si>
  <si>
    <t>BAG MARGARITA 25GX6 390X285 NA TR2 (X6)</t>
  </si>
  <si>
    <t>MULTIPACK PAPA 225X6X1 BX9</t>
  </si>
  <si>
    <t>BAG MARGARITA 25GX9 330X360 NA TR2 (X9)</t>
  </si>
  <si>
    <t>MULTIPACK PAPA 675GX2X1</t>
  </si>
  <si>
    <t>MULTIPACK PAPA 225GX6X1 BX9</t>
  </si>
  <si>
    <t>DETODITOS PROMO CC ESP 330GX8X1</t>
  </si>
  <si>
    <t>DETODITO NATURAL 165GX14X1</t>
  </si>
  <si>
    <t>DETODITO MIX 165GX16X1</t>
  </si>
  <si>
    <t>BAG DTD NAT TRAN 45GX12 HAN 555X412 TR2</t>
  </si>
  <si>
    <t>PROMO CHEETOS 308GX5X1 PAGUE 10 LLEVE 14</t>
  </si>
  <si>
    <t>PROMO CHEETOS 248GX6X1 NAT15G 2BOLIQ34G</t>
  </si>
  <si>
    <t>MULTIPACK PAPA 225X6X1 BX9 OFERTA 6X9</t>
  </si>
  <si>
    <t>MARGARITA LIMON 105GX15X1</t>
  </si>
  <si>
    <t>CAJA E240 TROQ AZUL OSC</t>
  </si>
  <si>
    <t>MARGARITA POLLO 105GX15X1</t>
  </si>
  <si>
    <t>CHOCLITOS LIMON 210GX15X1</t>
  </si>
  <si>
    <t>CHOCLITOS LIMON 210GX19X1</t>
  </si>
  <si>
    <t>Promo Doritos Megaqueso 408Gx12 Pague 10 lleve 14 (mayor)</t>
  </si>
  <si>
    <t>CAJA E265</t>
  </si>
  <si>
    <t>ETIQUETA BLANCA COD.BARRA 40X40 DO</t>
  </si>
  <si>
    <t>MARGARITA LIMON 100GX18X1 MAQ</t>
  </si>
  <si>
    <t>BOX TROQUELADA E240 MARGARITA</t>
  </si>
  <si>
    <t>MARGARITA LIMON 100GX18X1</t>
  </si>
  <si>
    <t>MARGARITA POLLO 100GX18X1 MAQ</t>
  </si>
  <si>
    <t>MARGARITA POLLO 100GX18X1</t>
  </si>
  <si>
    <t>Promo Doritos Megaqueso 408Gx12 Pague 10 lleve 12</t>
  </si>
  <si>
    <t xml:space="preserve"> MARGARITA LIMON 300GX6X1 BX12 PREC ESPEC    </t>
  </si>
  <si>
    <t>MARGARITA LIMON 25GX6X12 BX12 IMP</t>
  </si>
  <si>
    <t>Margarita Pollo 25Gx6X12 Bx12 Imp Precio especial</t>
  </si>
  <si>
    <t>MARGARITA POLLO 25GX6X12 BX12 IMP</t>
  </si>
  <si>
    <t>CHOCLITOS LIMON 170GX19X1 MAQ</t>
  </si>
  <si>
    <t>BOX TROQUELADA E240 CHOCLITOS</t>
  </si>
  <si>
    <t>CHOCLITOS LIMON 170GX19X1</t>
  </si>
  <si>
    <t>DETODITO BBQ PROMO 360GX4X1 PAGA6 LLEVE8</t>
  </si>
  <si>
    <t>CAJA E208</t>
  </si>
  <si>
    <t>DETODITO LIMON PROM 360GX4X1 PAG6 LLEVE8</t>
  </si>
  <si>
    <t>DETODITO LIMON 45GX6X6 IMP</t>
  </si>
  <si>
    <t>DETODITO LIMON 45GX72X1</t>
  </si>
  <si>
    <t>DORITOS DINAM LIMON TAQ 200GX27X1 MQ</t>
  </si>
  <si>
    <t>CAJA E208 TROQ AZUL CELESTE</t>
  </si>
  <si>
    <t>DORITOS DINAM LIMON TAQ 200GX27X1</t>
  </si>
  <si>
    <t>NATUCHIPS PLATANO VER Y MAD 135GX16X1</t>
  </si>
  <si>
    <t>NATUCHIPS PLATANO MADURO 135GX20X1</t>
  </si>
  <si>
    <t>NATUCHIPS PLATANO VERDE 135GX20X1</t>
  </si>
  <si>
    <t>MARGARITA MIXTA 100GX18X1</t>
  </si>
  <si>
    <t>CS TROQ E240 MARGARITA MIXTA MUNDIAL</t>
  </si>
  <si>
    <t>PROMO DORITOS 420GX8X1 5MQ43G5BBQ41G</t>
  </si>
  <si>
    <t>CAJA E310</t>
  </si>
  <si>
    <t>BAG DOR MIXTA IMP 420G 334X390</t>
  </si>
  <si>
    <t>DORITOS BARBECUE 41GX72X1</t>
  </si>
  <si>
    <t>DORITOS MEGAQUESO 43GX76X1</t>
  </si>
  <si>
    <t>CHEETOS PROMO BOL PAGUE6LLEVE7 238GX4X1</t>
  </si>
  <si>
    <t>OFERTA DOR CHE DTD BBQ MRGPOLLO 744GX3X1</t>
  </si>
  <si>
    <t>DETODITO BBQ 165GX14X1</t>
  </si>
  <si>
    <t>CHEETOS BOLI QUESO 160GX12X1</t>
  </si>
  <si>
    <t>DORITOS MEGAQUESO 185GX18X1</t>
  </si>
  <si>
    <t>CINTA OFERTA BLANCA 36MMX100M</t>
  </si>
  <si>
    <t>OFERTA DOR CHE DTD LIM MRG LIM 744GX3X1</t>
  </si>
  <si>
    <t>DETODITO LIMON 165GX16X1</t>
  </si>
  <si>
    <t>MGTA POLLO PROMO PAGUE6LLEVE7 252GX10X1  </t>
  </si>
  <si>
    <t>CAJA E345</t>
  </si>
  <si>
    <t>MARGARITA POLLO 36GX70X1</t>
  </si>
  <si>
    <t>MGTA LIMON PROMO PAGUE6LLEVE7 252GX10X1</t>
  </si>
  <si>
    <t>MARGARITA LIMON 36GX70X1 RM</t>
  </si>
  <si>
    <t>DORITOS MQ PROMO PAGUE6LLEVE7 301GX10X1</t>
  </si>
  <si>
    <t>DTD BBQ PROMO PAGUE6 LLEVE7 350GX4X1</t>
  </si>
  <si>
    <t>DETODITO BBQ 50GX33X1</t>
  </si>
  <si>
    <t>DTD MIX PROMO PAGUE6 LLEVE7 350GX4X1</t>
  </si>
  <si>
    <t>DETODITO MIX 50GX33X1 RM MF</t>
  </si>
  <si>
    <t xml:space="preserve">MARGARITA OND PICANA 105GX15X1 TROQ   </t>
  </si>
  <si>
    <t>CS CAJA E240 TROQ AZUL OSC MUNDIAL</t>
  </si>
  <si>
    <t>MARGARITA OND PICANA 105GX18X1</t>
  </si>
  <si>
    <t>MARGARITA HOGAO 105GX15X1 TROQ</t>
  </si>
  <si>
    <t>MARGARITA HOGAO 105GX18X1</t>
  </si>
  <si>
    <t>MARGARITA SURTIDO 600GX3X1 TER BX24X25G</t>
  </si>
  <si>
    <t>BOX E310</t>
  </si>
  <si>
    <t>MARGARITA POLLO 5X1 BX12X25G+GTX2X25G  </t>
  </si>
  <si>
    <t>DETODITO NATURAL 4X1 BX12X45G+GTX1X45G </t>
  </si>
  <si>
    <t>DETODITO BBQ 4X1 BX12X45G+GTX1X45G     </t>
  </si>
  <si>
    <t>MARGARITA LIMON 5X1 BX12X25G+GTX2X25G  </t>
  </si>
  <si>
    <t>CHOCLITOS LIMON 7X1 BX12X27G+GTX2 MY   </t>
  </si>
  <si>
    <t>SURTIDO MEGA LONCHERA 586GX4X1 BX22</t>
  </si>
  <si>
    <t>BAG MEGA LONCHERA 586GX22 450X445 PCR</t>
  </si>
  <si>
    <t xml:space="preserve">CAJA NEGRA E310 NEGRA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</si>
</sst>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 style="thin">
        <color indexed="64"/>
      </left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/>
      <bottom style="hair">
        <color theme="0" tint="-0.2499465926084170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 applyProtection="1">
      <alignment horizontal="center"/>
      <protection locked="0"/>
    </xf>
    <xf numFmtId="0" fontId="3" fillId="0" borderId="1" xfId="0" applyFont="1" applyBorder="1" applyProtection="1">
      <protection locked="0"/>
    </xf>
    <xf numFmtId="0" fontId="3" fillId="0" borderId="2" xfId="0" applyFont="1" applyBorder="1"/>
    <xf numFmtId="0" fontId="3" fillId="0" borderId="3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3" fillId="0" borderId="4" xfId="0" applyFont="1" applyBorder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1" fontId="3" fillId="0" borderId="0" xfId="0" applyNumberFormat="1" applyFont="1"/>
    <xf numFmtId="0" fontId="3" fillId="0" borderId="6" xfId="0" applyFont="1" applyBorder="1" applyProtection="1">
      <protection locked="0"/>
    </xf>
    <xf numFmtId="0" fontId="3" fillId="0" borderId="0" xfId="0" applyFont="1"/>
    <xf numFmtId="0" fontId="3" fillId="0" borderId="0" xfId="0" applyFont="1" applyProtection="1">
      <protection locked="0"/>
    </xf>
    <xf numFmtId="0" fontId="3" fillId="0" borderId="7" xfId="0" applyFont="1" applyBorder="1" applyProtection="1"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2" borderId="8" xfId="0" applyFont="1" applyFill="1" applyBorder="1" applyAlignment="1">
      <alignment horizontal="right"/>
    </xf>
    <xf numFmtId="0" fontId="4" fillId="0" borderId="0" xfId="0" applyFont="1"/>
    <xf numFmtId="3" fontId="8" fillId="0" borderId="9" xfId="0" applyNumberFormat="1" applyFont="1" applyBorder="1" applyAlignment="1">
      <alignment horizontal="center"/>
    </xf>
    <xf numFmtId="0" fontId="3" fillId="3" borderId="10" xfId="0" applyFont="1" applyFill="1" applyBorder="1" applyAlignment="1" applyProtection="1">
      <alignment horizontal="left"/>
      <protection locked="0"/>
    </xf>
    <xf numFmtId="0" fontId="3" fillId="3" borderId="11" xfId="0" applyFont="1" applyFill="1" applyBorder="1" applyAlignment="1">
      <alignment horizontal="left"/>
    </xf>
    <xf numFmtId="0" fontId="3" fillId="3" borderId="12" xfId="0" applyFont="1" applyFill="1" applyBorder="1" applyAlignment="1" applyProtection="1">
      <alignment horizontal="left"/>
      <protection locked="0"/>
    </xf>
    <xf numFmtId="0" fontId="3" fillId="3" borderId="10" xfId="0" applyFont="1" applyFill="1" applyBorder="1" applyAlignment="1">
      <alignment horizontal="left"/>
    </xf>
    <xf numFmtId="3" fontId="3" fillId="3" borderId="10" xfId="0" applyNumberFormat="1" applyFont="1" applyFill="1" applyBorder="1" applyAlignment="1" applyProtection="1">
      <alignment horizontal="left"/>
      <protection locked="0"/>
    </xf>
    <xf numFmtId="0" fontId="4" fillId="2" borderId="0" xfId="0" applyFont="1" applyFill="1" applyAlignment="1" applyProtection="1">
      <alignment horizontal="center"/>
      <protection locked="0"/>
    </xf>
    <xf numFmtId="0" fontId="2" fillId="0" borderId="0" xfId="0" applyFont="1"/>
    <xf numFmtId="3" fontId="8" fillId="0" borderId="14" xfId="0" applyNumberFormat="1" applyFont="1" applyBorder="1" applyAlignment="1">
      <alignment horizontal="center"/>
    </xf>
    <xf numFmtId="0" fontId="4" fillId="0" borderId="5" xfId="0" applyFont="1" applyBorder="1" applyProtection="1">
      <protection locked="0"/>
    </xf>
    <xf numFmtId="0" fontId="4" fillId="0" borderId="6" xfId="0" applyFont="1" applyBorder="1" applyProtection="1">
      <protection locked="0"/>
    </xf>
    <xf numFmtId="0" fontId="4" fillId="0" borderId="0" xfId="0" applyFont="1" applyProtection="1">
      <protection locked="0"/>
    </xf>
    <xf numFmtId="0" fontId="4" fillId="0" borderId="7" xfId="0" applyFont="1" applyBorder="1" applyProtection="1">
      <protection locked="0"/>
    </xf>
    <xf numFmtId="0" fontId="4" fillId="0" borderId="7" xfId="0" applyFont="1" applyBorder="1"/>
    <xf numFmtId="0" fontId="4" fillId="0" borderId="8" xfId="0" applyFont="1" applyBorder="1"/>
    <xf numFmtId="3" fontId="8" fillId="0" borderId="15" xfId="0" applyNumberFormat="1" applyFont="1" applyBorder="1" applyAlignment="1">
      <alignment horizontal="center"/>
    </xf>
    <xf numFmtId="0" fontId="3" fillId="0" borderId="13" xfId="0" applyFont="1" applyFill="1" applyBorder="1" applyAlignment="1" applyProtection="1">
      <alignment horizontal="center" vertical="center"/>
      <protection locked="0"/>
    </xf>
    <xf numFmtId="0" fontId="3" fillId="0" borderId="13" xfId="0" applyFont="1" applyFill="1" applyBorder="1" applyAlignment="1">
      <alignment horizontal="center" vertical="center"/>
    </xf>
    <xf numFmtId="0" fontId="5" fillId="0" borderId="13" xfId="0" applyFont="1" applyFill="1" applyBorder="1" applyAlignment="1" applyProtection="1">
      <alignment horizontal="center" vertical="center"/>
      <protection locked="0"/>
    </xf>
    <xf numFmtId="0" fontId="1" fillId="0" borderId="13" xfId="0" applyFont="1" applyFill="1" applyBorder="1" applyAlignment="1" applyProtection="1">
      <alignment horizontal="center" vertical="center"/>
      <protection locked="0"/>
    </xf>
    <xf numFmtId="3" fontId="6" fillId="0" borderId="13" xfId="0" applyNumberFormat="1" applyFont="1" applyFill="1" applyBorder="1" applyAlignment="1">
      <alignment horizontal="center"/>
    </xf>
    <xf numFmtId="0" fontId="7" fillId="0" borderId="13" xfId="0" applyFont="1" applyFill="1" applyBorder="1" applyAlignment="1" applyProtection="1">
      <alignment horizontal="center"/>
      <protection locked="0"/>
    </xf>
    <xf numFmtId="0" fontId="7" fillId="0" borderId="13" xfId="0" applyFont="1" applyFill="1" applyBorder="1" applyAlignment="1">
      <alignment horizontal="center"/>
    </xf>
    <xf numFmtId="1" fontId="8" fillId="0" borderId="13" xfId="0" applyNumberFormat="1" applyFont="1" applyFill="1" applyBorder="1" applyAlignment="1">
      <alignment horizontal="center"/>
    </xf>
    <xf numFmtId="3" fontId="8" fillId="0" borderId="13" xfId="0" applyNumberFormat="1" applyFont="1" applyFill="1" applyBorder="1" applyAlignment="1">
      <alignment horizontal="center"/>
    </xf>
    <xf numFmtId="3" fontId="7" fillId="0" borderId="13" xfId="0" applyNumberFormat="1" applyFont="1" applyFill="1" applyBorder="1" applyAlignment="1" applyProtection="1">
      <alignment horizontal="center"/>
      <protection locked="0"/>
    </xf>
    <xf numFmtId="0" fontId="3" fillId="0" borderId="13" xfId="0" applyFont="1" applyFill="1" applyBorder="1" applyAlignment="1" applyProtection="1">
      <alignment horizontal="center"/>
      <protection locked="0"/>
    </xf>
    <xf numFmtId="0" fontId="3" fillId="0" borderId="13" xfId="0" applyFont="1" applyFill="1" applyBorder="1" applyAlignment="1">
      <alignment horizontal="center"/>
    </xf>
    <xf numFmtId="3" fontId="3" fillId="0" borderId="13" xfId="0" applyNumberFormat="1" applyFont="1" applyFill="1" applyBorder="1" applyAlignment="1" applyProtection="1">
      <alignment horizontal="center"/>
      <protection locked="0"/>
    </xf>
    <xf numFmtId="165" fontId="3" fillId="0" borderId="13" xfId="0" applyNumberFormat="1" applyFont="1" applyFill="1" applyBorder="1" applyAlignment="1" applyProtection="1">
      <alignment horizontal="center"/>
      <protection locked="0"/>
    </xf>
    <xf numFmtId="0" fontId="2" fillId="0" borderId="13" xfId="0" applyFont="1" applyFill="1" applyBorder="1" applyAlignment="1" applyProtection="1">
      <alignment horizontal="center"/>
      <protection locked="0"/>
    </xf>
    <xf numFmtId="0" fontId="2" fillId="0" borderId="13" xfId="0" applyFont="1" applyFill="1" applyBorder="1" applyAlignment="1">
      <alignment horizontal="center"/>
    </xf>
    <xf numFmtId="3" fontId="2" fillId="0" borderId="13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psico-my.sharepoint.com/personal/edwinarley_cuervojimenez_pepsico_com/Documents/Documents/EDWIN/Maquila/Simulacion/Simulacion%201-7-2026..xlsm" TargetMode="External"/><Relationship Id="rId1" Type="http://schemas.openxmlformats.org/officeDocument/2006/relationships/externalLinkPath" Target="https://pepsico-my.sharepoint.com/personal/edwinarley_cuervojimenez_pepsico_com/Documents/Documents/EDWIN/Maquila/Simulacion/Simulacion%201-7-2026.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balajes"/>
      <sheetName val="RQ MP"/>
      <sheetName val="FORMATO RQ"/>
      <sheetName val="Revision Ofertas"/>
      <sheetName val="Prog. Pam"/>
      <sheetName val="Maestro Programación"/>
      <sheetName val="ANALISIS"/>
      <sheetName val="Prog. Maq"/>
      <sheetName val="Prog. Funza y Guarne"/>
      <sheetName val="Inv Plan MP y PT"/>
      <sheetName val="TRANSITOS"/>
      <sheetName val="B9"/>
      <sheetName val="INV PI &amp; MP INLO"/>
      <sheetName val="Victor "/>
      <sheetName val="Hoja1"/>
      <sheetName val="PAM 8701"/>
      <sheetName val="INV PI &amp; MP LOGIKA"/>
      <sheetName val="INV MP OMEGA"/>
      <sheetName val="INV PT PAM"/>
      <sheetName val="INV MP PAM"/>
    </sheetNames>
    <sheetDataSet>
      <sheetData sheetId="0">
        <row r="1">
          <cell r="A1" t="str">
            <v>ITEM</v>
          </cell>
          <cell r="B1" t="str">
            <v>DESCRIPCION</v>
          </cell>
        </row>
        <row r="2">
          <cell r="A2">
            <v>200008821</v>
          </cell>
          <cell r="B2" t="str">
            <v>SE DORITOS MEGAQUESO 2KGX1X1 BULK</v>
          </cell>
        </row>
        <row r="3">
          <cell r="A3">
            <v>200008965</v>
          </cell>
          <cell r="B3" t="str">
            <v>SE PLATANO MADURO BULK 3KG MX</v>
          </cell>
        </row>
        <row r="4">
          <cell r="A4">
            <v>200008966</v>
          </cell>
          <cell r="B4" t="str">
            <v>SE PLATANO DULCE 3KGX1X1 BULK EXP</v>
          </cell>
        </row>
        <row r="5">
          <cell r="A5">
            <v>200008967</v>
          </cell>
          <cell r="B5" t="str">
            <v>SE GALL NAVIDAD MANTEQUILL 7KGX2X2 STOCK</v>
          </cell>
        </row>
        <row r="6">
          <cell r="A6">
            <v>200008968</v>
          </cell>
          <cell r="B6" t="str">
            <v>SE QUAKER AVENA MINI FRU R 7KGX2X2 STOCK</v>
          </cell>
        </row>
        <row r="7">
          <cell r="A7">
            <v>200008969</v>
          </cell>
          <cell r="B7" t="str">
            <v>SE QUAKER AVENA MINI MAN C 7KGX2X2 STOCK</v>
          </cell>
        </row>
        <row r="8">
          <cell r="A8">
            <v>200009035</v>
          </cell>
          <cell r="B8" t="str">
            <v>SE DTD PLATANO LISO BF STOCK 4KG</v>
          </cell>
        </row>
        <row r="9">
          <cell r="A9">
            <v>200009115</v>
          </cell>
          <cell r="B9" t="str">
            <v>SE QUAKER AVENA MINI M  7KGX2X2 STOCK EX</v>
          </cell>
        </row>
        <row r="10">
          <cell r="A10">
            <v>200009454</v>
          </cell>
          <cell r="B10" t="str">
            <v>SE ROSQUITAS CRONCH 1.0KGX1X1 BULK</v>
          </cell>
        </row>
        <row r="11">
          <cell r="A11">
            <v>200009455</v>
          </cell>
          <cell r="B11" t="str">
            <v>SE MINI CHOKIS 3.5X1X1 BULK</v>
          </cell>
        </row>
        <row r="12">
          <cell r="A12">
            <v>200009821</v>
          </cell>
          <cell r="B12" t="str">
            <v>SE CHICHARRON BF 1KGX1X1</v>
          </cell>
        </row>
        <row r="13">
          <cell r="A13">
            <v>200009824</v>
          </cell>
          <cell r="B13" t="str">
            <v>SE MEZCLA PAPA PLATANO 1.8KGX1X1</v>
          </cell>
        </row>
        <row r="14">
          <cell r="A14">
            <v>200009825</v>
          </cell>
          <cell r="B14" t="str">
            <v>SE POPCORN CARAMELO 2.5KG</v>
          </cell>
        </row>
        <row r="15">
          <cell r="A15">
            <v>200009881</v>
          </cell>
          <cell r="B15" t="str">
            <v>SE LECHETTA 2.5X1X1 BULK</v>
          </cell>
        </row>
        <row r="16">
          <cell r="A16">
            <v>200009910</v>
          </cell>
          <cell r="B16" t="str">
            <v>SE CHIPSOS 2.5X1X1 BULK</v>
          </cell>
        </row>
        <row r="17">
          <cell r="A17">
            <v>200009911</v>
          </cell>
          <cell r="B17" t="str">
            <v>SE FLORENTINAS FRESA 2.5GX1X1 BULK</v>
          </cell>
        </row>
        <row r="18">
          <cell r="A18">
            <v>200009912</v>
          </cell>
          <cell r="B18" t="str">
            <v>SE MANTEQ NAVIDAD CON BITS 2.5GX1X1 BULK</v>
          </cell>
        </row>
        <row r="19">
          <cell r="A19">
            <v>300033531</v>
          </cell>
          <cell r="B19" t="str">
            <v xml:space="preserve">DETODITO BBQ 45GX5X12                   </v>
          </cell>
        </row>
        <row r="20">
          <cell r="A20">
            <v>300033532</v>
          </cell>
          <cell r="B20" t="str">
            <v xml:space="preserve">DETODITO BBQ 45GX30X1                   </v>
          </cell>
        </row>
        <row r="21">
          <cell r="A21">
            <v>300033533</v>
          </cell>
          <cell r="B21" t="str">
            <v xml:space="preserve">DETODITO BBQ 155GX12X1                  </v>
          </cell>
        </row>
        <row r="22">
          <cell r="A22">
            <v>300033534</v>
          </cell>
          <cell r="B22" t="str">
            <v xml:space="preserve">DETODITO 4 POLLO 58GX27X1               </v>
          </cell>
        </row>
        <row r="23">
          <cell r="A23">
            <v>300033535</v>
          </cell>
          <cell r="B23" t="str">
            <v xml:space="preserve">DETODITO 4 LIMON 58GX27X1               </v>
          </cell>
        </row>
        <row r="24">
          <cell r="A24">
            <v>300033536</v>
          </cell>
          <cell r="B24" t="str">
            <v xml:space="preserve">DETODITO 4 CRIOLLO BBQ 58GX27X1         </v>
          </cell>
        </row>
        <row r="25">
          <cell r="A25">
            <v>300033537</v>
          </cell>
          <cell r="B25" t="str">
            <v xml:space="preserve">DETODITO 4 CRIOLLO 58GX27X1             </v>
          </cell>
        </row>
        <row r="26">
          <cell r="A26">
            <v>300033538</v>
          </cell>
          <cell r="B26" t="str">
            <v>DETODITO 4 ASADO CRIOLLO 58GX4X6 BX6 IMP</v>
          </cell>
        </row>
        <row r="27">
          <cell r="A27">
            <v>300033539</v>
          </cell>
          <cell r="B27" t="str">
            <v xml:space="preserve">DETODITO 4 ASADO CRIOLLO 58GX4X6        </v>
          </cell>
        </row>
        <row r="28">
          <cell r="A28">
            <v>300033610</v>
          </cell>
          <cell r="B28" t="str">
            <v xml:space="preserve">DETODITO 4 ASADO CRIOLLO 58GX27X1       </v>
          </cell>
        </row>
        <row r="29">
          <cell r="A29">
            <v>300033611</v>
          </cell>
          <cell r="B29" t="str">
            <v xml:space="preserve">DETODITO 4 ASADO CRIOLLO 170GX12X1      </v>
          </cell>
        </row>
        <row r="30">
          <cell r="A30">
            <v>300033612</v>
          </cell>
          <cell r="B30" t="str">
            <v xml:space="preserve">DETODITO NATURAL 70GX16X1               </v>
          </cell>
        </row>
        <row r="31">
          <cell r="A31">
            <v>300033613</v>
          </cell>
          <cell r="B31" t="str">
            <v xml:space="preserve">DETODITO NATURAL 45GX6X6 BX6 IMP        </v>
          </cell>
        </row>
        <row r="32">
          <cell r="A32">
            <v>300033614</v>
          </cell>
          <cell r="B32" t="str">
            <v xml:space="preserve">DETODITO NATURAL 40GX30X1               </v>
          </cell>
        </row>
        <row r="33">
          <cell r="A33">
            <v>300033615</v>
          </cell>
          <cell r="B33" t="str">
            <v xml:space="preserve">DETODITO NATURAL 400GX6X1               </v>
          </cell>
        </row>
        <row r="34">
          <cell r="A34">
            <v>300033616</v>
          </cell>
          <cell r="B34" t="str">
            <v xml:space="preserve">DETODITO NATURAL 250GX6X1               </v>
          </cell>
        </row>
        <row r="35">
          <cell r="A35">
            <v>300033617</v>
          </cell>
          <cell r="B35" t="str">
            <v xml:space="preserve">DETODITO NATURAL 160GX9X1               </v>
          </cell>
        </row>
        <row r="36">
          <cell r="A36">
            <v>300033618</v>
          </cell>
          <cell r="B36" t="str">
            <v xml:space="preserve">DETODITO MIX 70GX16X1                   </v>
          </cell>
        </row>
        <row r="37">
          <cell r="A37">
            <v>300033619</v>
          </cell>
          <cell r="B37" t="str">
            <v xml:space="preserve">DETODITO MIX 45GX7X6 BX6 IMP            </v>
          </cell>
        </row>
        <row r="38">
          <cell r="A38">
            <v>300033620</v>
          </cell>
          <cell r="B38" t="str">
            <v xml:space="preserve">DETODITO MIX 45GX1X25                   </v>
          </cell>
        </row>
        <row r="39">
          <cell r="A39">
            <v>300033621</v>
          </cell>
          <cell r="B39" t="str">
            <v xml:space="preserve">QUAKER 8X1 BX6 CHOCO32G+GTX6 GRAN32G    </v>
          </cell>
        </row>
        <row r="40">
          <cell r="A40">
            <v>300033622</v>
          </cell>
          <cell r="B40" t="str">
            <v xml:space="preserve">DETODITO NATURAL 4X1 AX2X250G           </v>
          </cell>
        </row>
        <row r="41">
          <cell r="A41">
            <v>300033623</v>
          </cell>
          <cell r="B41" t="str">
            <v xml:space="preserve">MARGARITA QUINCENA SURT 750GX2X1 BX15X2 </v>
          </cell>
        </row>
        <row r="42">
          <cell r="A42">
            <v>300033624</v>
          </cell>
          <cell r="B42" t="str">
            <v xml:space="preserve">QUAKER 8X1 BX6 PASA32G+BX6 FROJO32G     </v>
          </cell>
        </row>
        <row r="43">
          <cell r="A43">
            <v>300033625</v>
          </cell>
          <cell r="B43" t="str">
            <v xml:space="preserve">MARGARITA 2X1 BX12NATU25G+BX12LIM25G    </v>
          </cell>
        </row>
        <row r="44">
          <cell r="A44">
            <v>300033626</v>
          </cell>
          <cell r="B44" t="str">
            <v xml:space="preserve">MARGARITA 2X1 BX12NATU25G+BX12POLL25G   </v>
          </cell>
        </row>
        <row r="45">
          <cell r="A45">
            <v>300033627</v>
          </cell>
          <cell r="B45" t="str">
            <v>NATUCHIPS 4X1 BX12VER28G+BX12MAD28G PRSM</v>
          </cell>
        </row>
        <row r="46">
          <cell r="A46">
            <v>300033628</v>
          </cell>
          <cell r="B46" t="str">
            <v>DETODITO NATURAL 2X1 AX2X400G</v>
          </cell>
        </row>
        <row r="47">
          <cell r="A47">
            <v>300033629</v>
          </cell>
          <cell r="B47" t="str">
            <v>DETODITO SURTIDO 2X1 BX6NAT45G+BX6MIX45G</v>
          </cell>
        </row>
        <row r="48">
          <cell r="A48">
            <v>300033630</v>
          </cell>
          <cell r="B48" t="str">
            <v xml:space="preserve">DETODITO 2X1 BX6 NAT28G+BX6 BBQ28G      </v>
          </cell>
        </row>
        <row r="49">
          <cell r="A49">
            <v>300033631</v>
          </cell>
          <cell r="B49" t="str">
            <v xml:space="preserve">FRITOLAY MANI 15X1 SAL200G+PASAS200G    </v>
          </cell>
        </row>
        <row r="50">
          <cell r="A50">
            <v>300033632</v>
          </cell>
          <cell r="B50" t="str">
            <v>MARGARITA LIMO 4X1 BX12X25G+GTX2DORMQ38G</v>
          </cell>
        </row>
        <row r="51">
          <cell r="A51">
            <v>300033633</v>
          </cell>
          <cell r="B51" t="str">
            <v>MARGARITA POLL 4X1 BX12X25G+GTX2DORMQ38G</v>
          </cell>
        </row>
        <row r="52">
          <cell r="A52">
            <v>300033634</v>
          </cell>
          <cell r="B52" t="str">
            <v xml:space="preserve">MARGARITA NATU 4X1 BX12X25G+GTX1X25G MY </v>
          </cell>
        </row>
        <row r="53">
          <cell r="A53">
            <v>300033635</v>
          </cell>
          <cell r="B53" t="str">
            <v xml:space="preserve">CHEESE TRIS QUESO 4X1 BX12X52+GTX1X52G  </v>
          </cell>
        </row>
        <row r="54">
          <cell r="A54">
            <v>300033636</v>
          </cell>
          <cell r="B54" t="str">
            <v xml:space="preserve">QUAKER 8X1 BX6 CHOC34G+BX6 FROJO34G     </v>
          </cell>
        </row>
        <row r="55">
          <cell r="A55">
            <v>300033637</v>
          </cell>
          <cell r="B55" t="str">
            <v xml:space="preserve">QUAKER SURTIDO 8X1 BX12 9+GTX3          </v>
          </cell>
        </row>
        <row r="56">
          <cell r="A56">
            <v>300033638</v>
          </cell>
          <cell r="B56" t="str">
            <v>DORITOS MQUES 4X1 BX10X38G+GTX2GACHKSCHO</v>
          </cell>
        </row>
        <row r="57">
          <cell r="A57">
            <v>300033639</v>
          </cell>
          <cell r="B57" t="str">
            <v xml:space="preserve">MARGARITA NATURAL 4X1 BX16X25G 12+GTX4  </v>
          </cell>
        </row>
        <row r="58">
          <cell r="A58">
            <v>300033640</v>
          </cell>
          <cell r="B58" t="str">
            <v xml:space="preserve">MARGARITA NATURAL 2X1 110G P4 LL5       </v>
          </cell>
        </row>
        <row r="59">
          <cell r="A59">
            <v>300033641</v>
          </cell>
          <cell r="B59" t="str">
            <v xml:space="preserve">MARGARITA LIMON 2X1 110G P4 LL5         </v>
          </cell>
        </row>
        <row r="60">
          <cell r="A60">
            <v>300033642</v>
          </cell>
          <cell r="B60" t="str">
            <v>MGTA SURT 2X1 110G 2POLL+2LIM+1NAT P4LL5</v>
          </cell>
        </row>
        <row r="61">
          <cell r="A61">
            <v>300033643</v>
          </cell>
          <cell r="B61" t="str">
            <v>MARGARITA SURT 2X1 110G 3POLL+2LIM P4LL5</v>
          </cell>
        </row>
        <row r="62">
          <cell r="A62">
            <v>300033644</v>
          </cell>
          <cell r="B62" t="str">
            <v xml:space="preserve">DTD SURT 2X1 155G 3NAT+1BBQ+1MIX P4LL5  </v>
          </cell>
        </row>
        <row r="63">
          <cell r="A63">
            <v>300033645</v>
          </cell>
          <cell r="B63" t="str">
            <v xml:space="preserve">DTD SURT 2X1 155G 1NAT+3BBQ+1MIX P4LL5  </v>
          </cell>
        </row>
        <row r="64">
          <cell r="A64">
            <v>300033646</v>
          </cell>
          <cell r="B64" t="str">
            <v>MGTA SURT 2X1 110G 1POLL+3LIM+1NAT P4LL5</v>
          </cell>
        </row>
        <row r="65">
          <cell r="A65">
            <v>300033647</v>
          </cell>
          <cell r="B65" t="str">
            <v xml:space="preserve">CHEETOS NATURAL 7X1 BX12X15G            </v>
          </cell>
        </row>
        <row r="66">
          <cell r="A66">
            <v>300033648</v>
          </cell>
          <cell r="B66" t="str">
            <v xml:space="preserve">NATUCHIPS MADURO 9X1 BX12X28G           </v>
          </cell>
        </row>
        <row r="67">
          <cell r="A67">
            <v>300033649</v>
          </cell>
          <cell r="B67" t="str">
            <v xml:space="preserve">FRITOLAY MANI PASAS 20X1 DOY 200G       </v>
          </cell>
        </row>
        <row r="68">
          <cell r="A68">
            <v>300033650</v>
          </cell>
          <cell r="B68" t="str">
            <v xml:space="preserve">FRITOLAY MANI SAL 20X1 DOY 200G         </v>
          </cell>
        </row>
        <row r="69">
          <cell r="A69">
            <v>300033651</v>
          </cell>
          <cell r="B69" t="str">
            <v xml:space="preserve">DORITOS MEGAQUESO 6X1 BX10X38G          </v>
          </cell>
        </row>
        <row r="70">
          <cell r="A70">
            <v>300033652</v>
          </cell>
          <cell r="B70" t="str">
            <v>NATUCHIPS VER 5X1 BX12X28G+GTX2SALQOX45G</v>
          </cell>
        </row>
        <row r="71">
          <cell r="A71">
            <v>300033653</v>
          </cell>
          <cell r="B71" t="str">
            <v>CHOKIS SNDCH VAI 8X1 BX12X38G+GTX2EXT52G</v>
          </cell>
        </row>
        <row r="72">
          <cell r="A72">
            <v>300033654</v>
          </cell>
          <cell r="B72" t="str">
            <v>CHOKIS SNDCH CHO 8X1 BX12X38G+GTX2EXT52G</v>
          </cell>
        </row>
        <row r="73">
          <cell r="A73">
            <v>300033655</v>
          </cell>
          <cell r="B73" t="str">
            <v>CHOKIS SNDCH FRE 8X1 BX12X38G+GTX2EXT52G</v>
          </cell>
        </row>
        <row r="74">
          <cell r="A74">
            <v>300033656</v>
          </cell>
          <cell r="B74" t="str">
            <v>MARGARITA LIM 2X1 BX12X25G+GTX4DTDBBQ40G</v>
          </cell>
        </row>
        <row r="75">
          <cell r="A75">
            <v>300033657</v>
          </cell>
          <cell r="B75" t="str">
            <v>MARGARITA POLL2X1 BX12X25G+GTX4DTDBBQ40G</v>
          </cell>
        </row>
        <row r="76">
          <cell r="A76">
            <v>300033658</v>
          </cell>
          <cell r="B76" t="str">
            <v>MARGARITA NAT 2X1 BX12X25G+GTX4DTDBBQ40G</v>
          </cell>
        </row>
        <row r="77">
          <cell r="A77">
            <v>300033659</v>
          </cell>
          <cell r="B77" t="str">
            <v>GALL QUAKER AVENA GRANOL 30GX1X100 EC SP</v>
          </cell>
        </row>
        <row r="78">
          <cell r="A78">
            <v>300033660</v>
          </cell>
          <cell r="B78" t="str">
            <v>GALL QUAKER AVENA GRANOL 30GX1X100 EC CP</v>
          </cell>
        </row>
        <row r="79">
          <cell r="A79">
            <v>300033661</v>
          </cell>
          <cell r="B79" t="str">
            <v>GALL QUAKER AVENA GRANOL 28GX1X100 SP EC</v>
          </cell>
        </row>
        <row r="80">
          <cell r="A80">
            <v>300033662</v>
          </cell>
          <cell r="B80" t="str">
            <v>GALL QUAKER AVENA GRANOL 28GX1X100 CP EC</v>
          </cell>
        </row>
        <row r="81">
          <cell r="A81">
            <v>300033663</v>
          </cell>
          <cell r="B81" t="str">
            <v>GALL QUAKER AVENA GRANO 28GX1X100 ENF EC</v>
          </cell>
        </row>
        <row r="82">
          <cell r="A82">
            <v>300033664</v>
          </cell>
          <cell r="B82" t="str">
            <v xml:space="preserve">GALL QUAKER AVENA FRUT ROJ 34GX1X100 PE </v>
          </cell>
        </row>
        <row r="83">
          <cell r="A83">
            <v>300033665</v>
          </cell>
          <cell r="B83" t="str">
            <v>GALL QUAKER AVENA FRU R 34GX1X100 ENF EC</v>
          </cell>
        </row>
        <row r="84">
          <cell r="A84">
            <v>300033666</v>
          </cell>
          <cell r="B84" t="str">
            <v xml:space="preserve">GALL QUAKER AVENA FRUT ROJ 34GX1X100 BO </v>
          </cell>
        </row>
        <row r="85">
          <cell r="A85">
            <v>300033667</v>
          </cell>
          <cell r="B85" t="str">
            <v xml:space="preserve">GALL QUAKER AVENA FRUT ROJ 34GX17X6 PE  </v>
          </cell>
        </row>
        <row r="86">
          <cell r="A86">
            <v>300033668</v>
          </cell>
          <cell r="B86" t="str">
            <v xml:space="preserve">GALL QUAKER AVENA FRUT ROJ 34GX17X6 EC  </v>
          </cell>
        </row>
        <row r="87">
          <cell r="A87">
            <v>300033669</v>
          </cell>
          <cell r="B87" t="str">
            <v xml:space="preserve">GALL QUAKER AVENA FRUT ROJ 34GX17X6 BO  </v>
          </cell>
        </row>
        <row r="88">
          <cell r="A88">
            <v>300033670</v>
          </cell>
          <cell r="B88" t="str">
            <v xml:space="preserve">GALL QUAKER AVENA FRUT ROJ 32GX17X6 EC  </v>
          </cell>
        </row>
        <row r="89">
          <cell r="A89">
            <v>300033671</v>
          </cell>
          <cell r="B89" t="str">
            <v>GALL QUAKER AVENA FRUT R 32GX1X100 SP EC</v>
          </cell>
        </row>
        <row r="90">
          <cell r="A90">
            <v>300033672</v>
          </cell>
          <cell r="B90" t="str">
            <v>GALL QUAKER AVENA FRUT R 32GX1X100 CP EC</v>
          </cell>
        </row>
        <row r="91">
          <cell r="A91">
            <v>300033673</v>
          </cell>
          <cell r="B91" t="str">
            <v>GALL QUAKER AVENA FRU RO 34GX1X100 EC SP</v>
          </cell>
        </row>
        <row r="92">
          <cell r="A92">
            <v>300033674</v>
          </cell>
          <cell r="B92" t="str">
            <v>GALL QUAKER AVENA FRU RO 34GX1X100 EC CP</v>
          </cell>
        </row>
        <row r="93">
          <cell r="A93">
            <v>300033675</v>
          </cell>
          <cell r="B93" t="str">
            <v>GALL QUAKER AVENA FRU R 32GX1X100 ENF EC</v>
          </cell>
        </row>
        <row r="94">
          <cell r="A94">
            <v>300033676</v>
          </cell>
          <cell r="B94" t="str">
            <v>GALL QUAKER AVENA CHOCOLATE 34GX1X100 PE</v>
          </cell>
        </row>
        <row r="95">
          <cell r="A95">
            <v>300033677</v>
          </cell>
          <cell r="B95" t="str">
            <v>GALL QUAKER AVENA CHOCO 34GX1X100 ENF EC</v>
          </cell>
        </row>
        <row r="96">
          <cell r="A96">
            <v>300033679</v>
          </cell>
          <cell r="B96" t="str">
            <v xml:space="preserve">MARGARITA SURTIDO 600GX2X1 TER BX24X25G </v>
          </cell>
        </row>
        <row r="97">
          <cell r="A97">
            <v>300033680</v>
          </cell>
          <cell r="B97" t="str">
            <v xml:space="preserve">MARGARITA QUINCEN SURT 4X1 BX15X25G     </v>
          </cell>
        </row>
        <row r="98">
          <cell r="A98">
            <v>300033681</v>
          </cell>
          <cell r="B98" t="str">
            <v xml:space="preserve">DORITOS INFERNO SURTIDO 222GX4X1 DISPX6 </v>
          </cell>
        </row>
        <row r="99">
          <cell r="A99">
            <v>300033682</v>
          </cell>
          <cell r="B99" t="str">
            <v xml:space="preserve">NATUCHIPS ARROZ SAL MARINA 45GX5X6      </v>
          </cell>
        </row>
        <row r="100">
          <cell r="A100">
            <v>300033683</v>
          </cell>
          <cell r="B100" t="str">
            <v xml:space="preserve">NATUCHIPS ARROZ SAL MARINA 45GX1X35     </v>
          </cell>
        </row>
        <row r="101">
          <cell r="A101">
            <v>300033684</v>
          </cell>
          <cell r="B101" t="str">
            <v xml:space="preserve">NATUCHIPS ARROZ SAL MARINA 140GX16X1    </v>
          </cell>
        </row>
        <row r="102">
          <cell r="A102">
            <v>300033685</v>
          </cell>
          <cell r="B102" t="str">
            <v>NATUCHIPS ARROZ SAL MARI 45GX5X6 BX6 IMP</v>
          </cell>
        </row>
        <row r="103">
          <cell r="A103">
            <v>300033686</v>
          </cell>
          <cell r="B103" t="str">
            <v xml:space="preserve">NATUCHIPS ARROZ QUESO OREG 45GX5X6      </v>
          </cell>
        </row>
        <row r="104">
          <cell r="A104">
            <v>300033687</v>
          </cell>
          <cell r="B104" t="str">
            <v xml:space="preserve">NATUCHIPS ARROZ QUESO OREG 45GX1X35     </v>
          </cell>
        </row>
        <row r="105">
          <cell r="A105">
            <v>300033688</v>
          </cell>
          <cell r="B105" t="str">
            <v xml:space="preserve">NATUCHIPS ARROZ QUESO OREG 140GX16X1    </v>
          </cell>
        </row>
        <row r="106">
          <cell r="A106">
            <v>300033689</v>
          </cell>
          <cell r="B106" t="str">
            <v>NATUCHIPS ARROZ QUESO OR 45GX5X6 BX6 IMP</v>
          </cell>
        </row>
        <row r="107">
          <cell r="A107">
            <v>300033690</v>
          </cell>
          <cell r="B107" t="str">
            <v xml:space="preserve">DORITOS PAKETON MEGAQUESO 60GX25X1      </v>
          </cell>
        </row>
        <row r="108">
          <cell r="A108">
            <v>300033691</v>
          </cell>
          <cell r="B108" t="str">
            <v xml:space="preserve">DORITOS MEGAQUESO 38GX6X10 BX10 IMP     </v>
          </cell>
        </row>
        <row r="109">
          <cell r="A109">
            <v>300033692</v>
          </cell>
          <cell r="B109" t="str">
            <v xml:space="preserve">DORITOS MEGAQUESO 38GX60X1 BOL          </v>
          </cell>
        </row>
        <row r="110">
          <cell r="A110">
            <v>300033693</v>
          </cell>
          <cell r="B110" t="str">
            <v xml:space="preserve">DORITOS MEGAQUESO 38GX5X12              </v>
          </cell>
        </row>
        <row r="111">
          <cell r="A111">
            <v>300033694</v>
          </cell>
          <cell r="B111" t="str">
            <v xml:space="preserve">DORITOS MEGAQUESO 38GX1X60              </v>
          </cell>
        </row>
        <row r="112">
          <cell r="A112">
            <v>300033695</v>
          </cell>
          <cell r="B112" t="str">
            <v xml:space="preserve">DORITOS MEGAQUESO 185GX15X1             </v>
          </cell>
        </row>
        <row r="113">
          <cell r="A113">
            <v>300033696</v>
          </cell>
          <cell r="B113" t="str">
            <v xml:space="preserve">MARGARITA REC CLAS SAL VIN 145GX12X1    </v>
          </cell>
        </row>
        <row r="114">
          <cell r="A114">
            <v>300033697</v>
          </cell>
          <cell r="B114" t="str">
            <v xml:space="preserve">MARGARITA NATURAL 25GX60X1 CP BOL       </v>
          </cell>
        </row>
        <row r="115">
          <cell r="A115">
            <v>300033698</v>
          </cell>
          <cell r="B115" t="str">
            <v xml:space="preserve">MARGARITA MAZORCA ASADA 28GX30X1 CP BOL </v>
          </cell>
        </row>
        <row r="116">
          <cell r="A116">
            <v>300033699</v>
          </cell>
          <cell r="B116" t="str">
            <v xml:space="preserve">MARGARITA MAXX PIZZA PEPP 42GX24X1      </v>
          </cell>
        </row>
        <row r="117">
          <cell r="A117">
            <v>300033700</v>
          </cell>
          <cell r="B117" t="str">
            <v xml:space="preserve">MARGARITA EXTRACONT POLLO 132.5GX10X1   </v>
          </cell>
        </row>
        <row r="118">
          <cell r="A118">
            <v>300033701</v>
          </cell>
          <cell r="B118" t="str">
            <v xml:space="preserve">MARGARITA EXTRACONT NATURAL 132.5GX10X1 </v>
          </cell>
        </row>
        <row r="119">
          <cell r="A119">
            <v>300033702</v>
          </cell>
          <cell r="B119" t="str">
            <v xml:space="preserve">MARGARITA COSTILLITAS BBQ 32GX60X1      </v>
          </cell>
        </row>
        <row r="120">
          <cell r="A120">
            <v>300033703</v>
          </cell>
          <cell r="B120" t="str">
            <v xml:space="preserve">MARGARITA CHICH CARNUDO 28GX5X6         </v>
          </cell>
        </row>
        <row r="121">
          <cell r="A121">
            <v>300033704</v>
          </cell>
          <cell r="B121" t="str">
            <v xml:space="preserve">MARGARITA CHICH CARNUDO 28GX30X1 BOL    </v>
          </cell>
        </row>
        <row r="122">
          <cell r="A122">
            <v>300033705</v>
          </cell>
          <cell r="B122" t="str">
            <v xml:space="preserve">QUAKER MINI GRANOLA 40GX9X6             </v>
          </cell>
        </row>
        <row r="123">
          <cell r="A123">
            <v>300033706</v>
          </cell>
          <cell r="B123" t="str">
            <v xml:space="preserve">QUAKER MINI GRANOLA 40GX1X44            </v>
          </cell>
        </row>
        <row r="124">
          <cell r="A124">
            <v>300033707</v>
          </cell>
          <cell r="B124" t="str">
            <v xml:space="preserve">QUAKER MINI GRANOLA 40GX10X6 DISX6      </v>
          </cell>
        </row>
        <row r="125">
          <cell r="A125">
            <v>300033708</v>
          </cell>
          <cell r="B125" t="str">
            <v xml:space="preserve">QUAKER CRACKERS MANZANA CAN 24GX24X9    </v>
          </cell>
        </row>
        <row r="126">
          <cell r="A126">
            <v>300033709</v>
          </cell>
          <cell r="B126" t="str">
            <v xml:space="preserve">QUAKER CRACKERS 7 GRANOS 405GX24X1 TACO </v>
          </cell>
        </row>
        <row r="127">
          <cell r="A127">
            <v>300033712</v>
          </cell>
          <cell r="B127" t="str">
            <v xml:space="preserve">MARGARITA SURTIDO 720GX1X1 TER BX24X30G </v>
          </cell>
        </row>
        <row r="128">
          <cell r="A128">
            <v>300033713</v>
          </cell>
          <cell r="B128" t="str">
            <v xml:space="preserve">MARGARITA APAS SURTIDO 4X1 BX9 IMP      </v>
          </cell>
        </row>
        <row r="129">
          <cell r="A129">
            <v>300033714</v>
          </cell>
          <cell r="B129" t="str">
            <v xml:space="preserve">DORITOS MEGAQUESO 190GX15X1             </v>
          </cell>
        </row>
        <row r="130">
          <cell r="A130">
            <v>300033715</v>
          </cell>
          <cell r="B130" t="str">
            <v xml:space="preserve">DORITOS INFERNO SURTIDO 222GX3X1 TIR    </v>
          </cell>
        </row>
        <row r="131">
          <cell r="A131">
            <v>300033716</v>
          </cell>
          <cell r="B131" t="str">
            <v xml:space="preserve">CHEETOS CRISPETA QUES CHED 55GX12X1     </v>
          </cell>
        </row>
        <row r="132">
          <cell r="A132">
            <v>300033717</v>
          </cell>
          <cell r="B132" t="str">
            <v xml:space="preserve">CHEETOS CRISPETA QUES CHED 24GX7X6      </v>
          </cell>
        </row>
        <row r="133">
          <cell r="A133">
            <v>300033718</v>
          </cell>
          <cell r="B133" t="str">
            <v xml:space="preserve">CHEETOS CRISPETA QUES CHED 24GX42X1 BOL </v>
          </cell>
        </row>
        <row r="134">
          <cell r="A134">
            <v>300033719</v>
          </cell>
          <cell r="B134" t="str">
            <v xml:space="preserve">CHEETOS CRISPETA QUES CHED 24GX1X42     </v>
          </cell>
        </row>
        <row r="135">
          <cell r="A135">
            <v>300033720</v>
          </cell>
          <cell r="B135" t="str">
            <v xml:space="preserve">CHEETOS CRISPETA QUES BLCO 65GX12X1     </v>
          </cell>
        </row>
        <row r="136">
          <cell r="A136">
            <v>300033721</v>
          </cell>
          <cell r="B136" t="str">
            <v xml:space="preserve">CHEETOS CRISPETA QUES BLCO 25GX7X6      </v>
          </cell>
        </row>
        <row r="137">
          <cell r="A137">
            <v>300033722</v>
          </cell>
          <cell r="B137" t="str">
            <v xml:space="preserve">CHEETOS CRISPETA QUES BLCO 25GX42X1 BOL </v>
          </cell>
        </row>
        <row r="138">
          <cell r="A138">
            <v>300033723</v>
          </cell>
          <cell r="B138" t="str">
            <v xml:space="preserve">CHEETOS CRISPETA QUES BLCO 25GX1X42     </v>
          </cell>
        </row>
        <row r="139">
          <cell r="A139">
            <v>300033724</v>
          </cell>
          <cell r="B139" t="str">
            <v xml:space="preserve">CHEETOS CRISPETA CHOCOLATE 68GX7X6      </v>
          </cell>
        </row>
        <row r="140">
          <cell r="A140">
            <v>300033725</v>
          </cell>
          <cell r="B140" t="str">
            <v xml:space="preserve">CHEETOS CRISPETA CHOCOLATE 68GX4X6 TIR  </v>
          </cell>
        </row>
        <row r="141">
          <cell r="A141">
            <v>300033726</v>
          </cell>
          <cell r="B141" t="str">
            <v xml:space="preserve">CHEETOS CRISPETA CHOCOLATE 68GX42X1     </v>
          </cell>
        </row>
        <row r="142">
          <cell r="A142">
            <v>300033727</v>
          </cell>
          <cell r="B142" t="str">
            <v xml:space="preserve">CHEETOS CRISPETA CHOCOLATE 20GX90X1     </v>
          </cell>
        </row>
        <row r="143">
          <cell r="A143">
            <v>300033728</v>
          </cell>
          <cell r="B143" t="str">
            <v xml:space="preserve">CHEETOS CRISPETA CHOCOLATE 155GX12X1    </v>
          </cell>
        </row>
        <row r="144">
          <cell r="A144">
            <v>300033729</v>
          </cell>
          <cell r="B144" t="str">
            <v xml:space="preserve">CHEETOS CRISPETA CARAMELO 72GX7X6 IMP   </v>
          </cell>
        </row>
        <row r="145">
          <cell r="A145">
            <v>300033730</v>
          </cell>
          <cell r="B145" t="str">
            <v xml:space="preserve">CHEETOS CRISPETA CARAMELO 72GX7X6       </v>
          </cell>
        </row>
        <row r="146">
          <cell r="A146">
            <v>300033731</v>
          </cell>
          <cell r="B146" t="str">
            <v xml:space="preserve">CHEETOS CRISPETA CARAMELO 72GX42X1 BOL  </v>
          </cell>
        </row>
        <row r="147">
          <cell r="A147">
            <v>300033732</v>
          </cell>
          <cell r="B147" t="str">
            <v xml:space="preserve">CHEETOS CRISPETA CARAMELO 72GX1X42      </v>
          </cell>
        </row>
        <row r="148">
          <cell r="A148">
            <v>300033733</v>
          </cell>
          <cell r="B148" t="str">
            <v xml:space="preserve">CHEETOS CRISPETA CARAMELO 160GX12X1     </v>
          </cell>
        </row>
        <row r="149">
          <cell r="A149">
            <v>300033734</v>
          </cell>
          <cell r="B149" t="str">
            <v xml:space="preserve">GUDIZ VAINILLA 28GX80X1 BOL             </v>
          </cell>
        </row>
        <row r="150">
          <cell r="A150">
            <v>300033735</v>
          </cell>
          <cell r="B150" t="str">
            <v xml:space="preserve">DETODITO MIX 40GX30X1                   </v>
          </cell>
        </row>
        <row r="151">
          <cell r="A151">
            <v>300033736</v>
          </cell>
          <cell r="B151" t="str">
            <v xml:space="preserve">DETODITO MIX 160GX9X1                   </v>
          </cell>
        </row>
        <row r="152">
          <cell r="A152">
            <v>300033737</v>
          </cell>
          <cell r="B152" t="str">
            <v xml:space="preserve">DETODITO BBQ 70GX16X1                   </v>
          </cell>
        </row>
        <row r="153">
          <cell r="A153">
            <v>300033738</v>
          </cell>
          <cell r="B153" t="str">
            <v xml:space="preserve">DETODITO BBQ 45GX6X6 BX6 IMP            </v>
          </cell>
        </row>
        <row r="154">
          <cell r="A154">
            <v>300033739</v>
          </cell>
          <cell r="B154" t="str">
            <v xml:space="preserve">DETODITO BBQ 40GX30X1                   </v>
          </cell>
        </row>
        <row r="155">
          <cell r="A155">
            <v>300033740</v>
          </cell>
          <cell r="B155" t="str">
            <v xml:space="preserve">DETODITO BBQ 160GX9X1                   </v>
          </cell>
        </row>
        <row r="156">
          <cell r="A156">
            <v>300033741</v>
          </cell>
          <cell r="B156" t="str">
            <v xml:space="preserve">DETODITO 4 POLLO 58GX6X6                </v>
          </cell>
        </row>
        <row r="157">
          <cell r="A157">
            <v>300033742</v>
          </cell>
          <cell r="B157" t="str">
            <v xml:space="preserve">DETODITO 4 POLLO 160GX9X1               </v>
          </cell>
        </row>
        <row r="158">
          <cell r="A158">
            <v>300033743</v>
          </cell>
          <cell r="B158" t="str">
            <v xml:space="preserve">DETODITO 4 LIMON 58GX6X6                </v>
          </cell>
        </row>
        <row r="159">
          <cell r="A159">
            <v>300033744</v>
          </cell>
          <cell r="B159" t="str">
            <v xml:space="preserve">DETODITO 4 LIMON 160GX9X1               </v>
          </cell>
        </row>
        <row r="160">
          <cell r="A160">
            <v>300033745</v>
          </cell>
          <cell r="B160" t="str">
            <v xml:space="preserve">DETODITO 4 CRIOLLO BBQ 58GX6X6          </v>
          </cell>
        </row>
        <row r="161">
          <cell r="A161">
            <v>300033746</v>
          </cell>
          <cell r="B161" t="str">
            <v xml:space="preserve">DETODITO 4 CRIOLLO BBQ 58GX4X6 BX6 IMP  </v>
          </cell>
        </row>
        <row r="162">
          <cell r="A162">
            <v>300033747</v>
          </cell>
          <cell r="B162" t="str">
            <v xml:space="preserve">DETODITO 4 CRIOLLO BBQ 180GX14X1        </v>
          </cell>
        </row>
        <row r="163">
          <cell r="A163">
            <v>300033748</v>
          </cell>
          <cell r="B163" t="str">
            <v xml:space="preserve">DETODITO 4 CRIOLLO 58GX6X6              </v>
          </cell>
        </row>
        <row r="164">
          <cell r="A164">
            <v>300033749</v>
          </cell>
          <cell r="B164" t="str">
            <v xml:space="preserve">DETODITO 4 CRIOLLO 58GX4X6 BX6 IMP      </v>
          </cell>
        </row>
        <row r="165">
          <cell r="A165">
            <v>300033750</v>
          </cell>
          <cell r="B165" t="str">
            <v xml:space="preserve">DETODITO 4 CRIOLLO 180GX14X1            </v>
          </cell>
        </row>
        <row r="166">
          <cell r="A166">
            <v>300033751</v>
          </cell>
          <cell r="B166" t="str">
            <v xml:space="preserve">MANI MOTO NATURAL 70GX6X9 DISPX9        </v>
          </cell>
        </row>
        <row r="167">
          <cell r="A167">
            <v>300033752</v>
          </cell>
          <cell r="B167" t="str">
            <v xml:space="preserve">MANI MOTO NATURAL 40GX9X16              </v>
          </cell>
        </row>
        <row r="168">
          <cell r="A168">
            <v>300033753</v>
          </cell>
          <cell r="B168" t="str">
            <v>MANI MOTO NATURAL 40GX14X16 DISPX16</v>
          </cell>
        </row>
        <row r="169">
          <cell r="A169">
            <v>300033754</v>
          </cell>
          <cell r="B169" t="str">
            <v xml:space="preserve">MANI MOTO NATURAL 40GX14X12 BX12 IMP    </v>
          </cell>
        </row>
        <row r="170">
          <cell r="A170">
            <v>300033755</v>
          </cell>
          <cell r="B170" t="str">
            <v xml:space="preserve">MARGARITA LIMON 4X1 BX16X25G 12+GTX4    </v>
          </cell>
        </row>
        <row r="171">
          <cell r="A171">
            <v>300033756</v>
          </cell>
          <cell r="B171" t="str">
            <v xml:space="preserve">MARGARITA POLLO 4X1 BX16X25G 12+GTX4    </v>
          </cell>
        </row>
        <row r="172">
          <cell r="A172">
            <v>300033757</v>
          </cell>
          <cell r="B172" t="str">
            <v>NATUCHIPS VER 4X1 BX12X28G+GTX2ARSALM45G</v>
          </cell>
        </row>
        <row r="173">
          <cell r="A173">
            <v>300033758</v>
          </cell>
          <cell r="B173" t="str">
            <v xml:space="preserve">CRONCH QUESO 2X1 BX12X2 22G             </v>
          </cell>
        </row>
        <row r="174">
          <cell r="A174">
            <v>300033759</v>
          </cell>
          <cell r="B174" t="str">
            <v xml:space="preserve">SURTIDO SUPER LONCHERA 7X1 PREC ESP     </v>
          </cell>
        </row>
        <row r="175">
          <cell r="A175">
            <v>300033760</v>
          </cell>
          <cell r="B175" t="str">
            <v xml:space="preserve">SURT MEGA LONCHERA MIXTO 581G3X1 BX24   </v>
          </cell>
        </row>
        <row r="176">
          <cell r="A176">
            <v>300033761</v>
          </cell>
          <cell r="B176" t="str">
            <v xml:space="preserve">SURTIDO LONCHERA FAVORITA 5X1 PREC ESP  </v>
          </cell>
        </row>
        <row r="177">
          <cell r="A177">
            <v>300033762</v>
          </cell>
          <cell r="B177" t="str">
            <v xml:space="preserve">MARGARITA LIM 4X1 BX12X25G+GT2DTDNAT45G </v>
          </cell>
        </row>
        <row r="178">
          <cell r="A178">
            <v>300033763</v>
          </cell>
          <cell r="B178" t="str">
            <v>MARGARITA POLL 4X1 BX12X25G+GT2DTDNAT45G</v>
          </cell>
        </row>
        <row r="179">
          <cell r="A179">
            <v>300033764</v>
          </cell>
          <cell r="B179" t="str">
            <v xml:space="preserve">MARGARITA NATURAL 6X1 BX12X25G          </v>
          </cell>
        </row>
        <row r="180">
          <cell r="A180">
            <v>300033765</v>
          </cell>
          <cell r="B180" t="str">
            <v xml:space="preserve">MARGARITA POLLO 6X1 BX12X25G            </v>
          </cell>
        </row>
        <row r="181">
          <cell r="A181">
            <v>300033766</v>
          </cell>
          <cell r="B181" t="str">
            <v xml:space="preserve">MARGARITA LIMON 6X1 BX12X25G            </v>
          </cell>
        </row>
        <row r="182">
          <cell r="A182">
            <v>300033767</v>
          </cell>
          <cell r="B182" t="str">
            <v xml:space="preserve">NATUCHIPS VERDE 9X1 BX12X28G            </v>
          </cell>
        </row>
        <row r="183">
          <cell r="A183">
            <v>300033768</v>
          </cell>
          <cell r="B183" t="str">
            <v xml:space="preserve">MARGARITA QUINCENA SURT 4X1 BX15X25G    </v>
          </cell>
        </row>
        <row r="184">
          <cell r="A184">
            <v>300033769</v>
          </cell>
          <cell r="B184" t="str">
            <v xml:space="preserve">CHOKIS 8X1 BX6 GALLCHISP40G+GTX2 BOL19G </v>
          </cell>
        </row>
        <row r="185">
          <cell r="A185">
            <v>300033770</v>
          </cell>
          <cell r="B185" t="str">
            <v xml:space="preserve">NATUCHIPS SURTIDO 484GX4X1 BX14         </v>
          </cell>
        </row>
        <row r="186">
          <cell r="A186">
            <v>300033771</v>
          </cell>
          <cell r="B186" t="str">
            <v xml:space="preserve">LAYS STAX NATURAL 140GX6X1              </v>
          </cell>
        </row>
        <row r="187">
          <cell r="A187">
            <v>300033772</v>
          </cell>
          <cell r="B187" t="str">
            <v xml:space="preserve">LAYS STAX QUESO CHEDDAR 140GX6X1        </v>
          </cell>
        </row>
        <row r="188">
          <cell r="A188">
            <v>300033773</v>
          </cell>
          <cell r="B188" t="str">
            <v xml:space="preserve">LAYS STAX CREMA CEBOLLA 140GX6X1        </v>
          </cell>
        </row>
        <row r="189">
          <cell r="A189">
            <v>300033774</v>
          </cell>
          <cell r="B189" t="str">
            <v xml:space="preserve">SURT LONCHERA ECONO 396GX2X1 BX6 3+GTX3 </v>
          </cell>
        </row>
        <row r="190">
          <cell r="A190">
            <v>300033775</v>
          </cell>
          <cell r="B190" t="str">
            <v xml:space="preserve">DETODITO BBQ 12X1 AX2X40G               </v>
          </cell>
        </row>
        <row r="191">
          <cell r="A191">
            <v>300033776</v>
          </cell>
          <cell r="B191" t="str">
            <v>MARGARITA LIM 2X1 BX12X25G+GTX4DTDNAT40G</v>
          </cell>
        </row>
        <row r="192">
          <cell r="A192">
            <v>300033777</v>
          </cell>
          <cell r="B192" t="str">
            <v>MARGARITA POL 2X1 BX12X25G+GTX4DTDNAT40G</v>
          </cell>
        </row>
        <row r="193">
          <cell r="A193">
            <v>300033778</v>
          </cell>
          <cell r="B193" t="str">
            <v>MARGARITA NAT 2X1 BX12X25G+GTX4DTDNAT40G</v>
          </cell>
        </row>
        <row r="194">
          <cell r="A194">
            <v>300033779</v>
          </cell>
          <cell r="B194" t="str">
            <v xml:space="preserve">DETODITO NATURAL12X1 AX2X40G            </v>
          </cell>
        </row>
        <row r="195">
          <cell r="A195">
            <v>300033780</v>
          </cell>
          <cell r="B195" t="str">
            <v xml:space="preserve">MARGARITA LIM 3X1 BX12X25G+GTX4DOMQ30G  </v>
          </cell>
        </row>
        <row r="196">
          <cell r="A196">
            <v>300033781</v>
          </cell>
          <cell r="B196" t="str">
            <v xml:space="preserve">MARGARITA POL 3X1 BX12X25G+GTX4DOMQ30G  </v>
          </cell>
        </row>
        <row r="197">
          <cell r="A197">
            <v>300033782</v>
          </cell>
          <cell r="B197" t="str">
            <v xml:space="preserve">MARGARITA NAT 3X1 BX12X25G+GTX4DOMQ30G  </v>
          </cell>
        </row>
        <row r="198">
          <cell r="A198">
            <v>300033783</v>
          </cell>
          <cell r="B198" t="str">
            <v xml:space="preserve">DORITOS MEGAQUESO 12X1 AX3X30G          </v>
          </cell>
        </row>
        <row r="199">
          <cell r="A199">
            <v>300033784</v>
          </cell>
          <cell r="B199" t="str">
            <v xml:space="preserve">CHEETOS CRISPETA CHOCO 6X1 68G P6 LL8   </v>
          </cell>
        </row>
        <row r="200">
          <cell r="A200">
            <v>300033785</v>
          </cell>
          <cell r="B200" t="str">
            <v xml:space="preserve">CHEETOS CRISPETA CHOCO 3X1 68G P12 LL13 </v>
          </cell>
        </row>
        <row r="201">
          <cell r="A201">
            <v>300033786</v>
          </cell>
          <cell r="B201" t="str">
            <v xml:space="preserve">CHEETOS CRISPETA CHOCO 2X1 68G P18 LL21 </v>
          </cell>
        </row>
        <row r="202">
          <cell r="A202">
            <v>300033787</v>
          </cell>
          <cell r="B202" t="str">
            <v>QUAKER AVENA YOG GRIE 4X1 BX6X32G P3 LL4</v>
          </cell>
        </row>
        <row r="203">
          <cell r="A203">
            <v>300033788</v>
          </cell>
          <cell r="B203" t="str">
            <v xml:space="preserve">QUAKER AVENA CAPPUC 4X1 BX6X32G P3 LL4  </v>
          </cell>
        </row>
        <row r="204">
          <cell r="A204">
            <v>300033789</v>
          </cell>
          <cell r="B204" t="str">
            <v>SURTIDO 3X1 BX12MGTLIM25G+BX12NCHPVER28G</v>
          </cell>
        </row>
        <row r="205">
          <cell r="A205">
            <v>300033790</v>
          </cell>
          <cell r="B205" t="str">
            <v>SURTIDO 3X1 BX12MGTPOL25G+BX12NCHPVER28G</v>
          </cell>
        </row>
        <row r="206">
          <cell r="A206">
            <v>300033791</v>
          </cell>
          <cell r="B206" t="str">
            <v xml:space="preserve">DORITOS MEGAQUESO 4X1 AX3X185G          </v>
          </cell>
        </row>
        <row r="207">
          <cell r="A207">
            <v>300033792</v>
          </cell>
          <cell r="B207" t="str">
            <v xml:space="preserve">SURTIDO ANCHETA PREMIUM 1X1             </v>
          </cell>
        </row>
        <row r="208">
          <cell r="A208">
            <v>300033793</v>
          </cell>
          <cell r="B208" t="str">
            <v xml:space="preserve">QUAKER AVENA SURT 4X1 DISPX608 X2       </v>
          </cell>
        </row>
        <row r="209">
          <cell r="A209">
            <v>300033794</v>
          </cell>
          <cell r="B209" t="str">
            <v>GALL QUAKER AVENA CHOCOLATE 34GX1X100 BO</v>
          </cell>
        </row>
        <row r="210">
          <cell r="A210">
            <v>300033795</v>
          </cell>
          <cell r="B210" t="str">
            <v xml:space="preserve">GALL QUAKER AVENA CHOCOLATE 34GX17X6 PE </v>
          </cell>
        </row>
        <row r="211">
          <cell r="A211">
            <v>300033796</v>
          </cell>
          <cell r="B211" t="str">
            <v xml:space="preserve">GALL QUAKER AVENA CHOCOLATE 34GX17X6 EC </v>
          </cell>
        </row>
        <row r="212">
          <cell r="A212">
            <v>300033797</v>
          </cell>
          <cell r="B212" t="str">
            <v xml:space="preserve">GALL QUAKER AVENA CHOCOLATE 34GX17X6 BO </v>
          </cell>
        </row>
        <row r="213">
          <cell r="A213">
            <v>300033798</v>
          </cell>
          <cell r="B213" t="str">
            <v xml:space="preserve">GALL QUAKER AVENA CHOCOLATE 32GX17X6 EC </v>
          </cell>
        </row>
        <row r="214">
          <cell r="A214">
            <v>300033799</v>
          </cell>
          <cell r="B214" t="str">
            <v>GALL QUAKER AVENA CHOCOL 34GX1X100 EC SP</v>
          </cell>
        </row>
        <row r="215">
          <cell r="A215">
            <v>300033800</v>
          </cell>
          <cell r="B215" t="str">
            <v>GALL QUAKER AVENA CHOCOL 34GX1X100 EC CP</v>
          </cell>
        </row>
        <row r="216">
          <cell r="A216">
            <v>300033801</v>
          </cell>
          <cell r="B216" t="str">
            <v>GALL QUAKER AVENA CHOCOL 32GX1X100 SP EC</v>
          </cell>
        </row>
        <row r="217">
          <cell r="A217">
            <v>300033802</v>
          </cell>
          <cell r="B217" t="str">
            <v>GALL QUAKER AVENA CHOCOL 32GX1X100 CP EC</v>
          </cell>
        </row>
        <row r="218">
          <cell r="A218">
            <v>300033803</v>
          </cell>
          <cell r="B218" t="str">
            <v>GALL QUAKER AVENA CHOCO 32GX1X100 ENF EC</v>
          </cell>
        </row>
        <row r="219">
          <cell r="A219">
            <v>300033804</v>
          </cell>
          <cell r="B219" t="str">
            <v>GALL QUAKER AVENA CAPPUCCINO 32GX17X6 PE</v>
          </cell>
        </row>
        <row r="220">
          <cell r="A220">
            <v>300033805</v>
          </cell>
          <cell r="B220" t="str">
            <v>GALL QUAKER AVENA CAPPUCCIN 32GX1X100 PE</v>
          </cell>
        </row>
        <row r="221">
          <cell r="A221">
            <v>300033806</v>
          </cell>
          <cell r="B221" t="str">
            <v xml:space="preserve">SURTIDO SUPER LONCHERA 7X1 BX12         </v>
          </cell>
        </row>
        <row r="222">
          <cell r="A222">
            <v>300033807</v>
          </cell>
          <cell r="B222" t="str">
            <v xml:space="preserve">SURTIDO MEGA LONCH 3X1 BX24             </v>
          </cell>
        </row>
        <row r="223">
          <cell r="A223">
            <v>300033808</v>
          </cell>
          <cell r="B223" t="str">
            <v xml:space="preserve">SURTIDO MAXI 2X1 BX30                   </v>
          </cell>
        </row>
        <row r="224">
          <cell r="A224">
            <v>300033809</v>
          </cell>
          <cell r="B224" t="str">
            <v xml:space="preserve">SURTIDO LONCHERA FAVORITA 5X1 BX12      </v>
          </cell>
        </row>
        <row r="225">
          <cell r="A225">
            <v>300033810</v>
          </cell>
          <cell r="B225" t="str">
            <v xml:space="preserve">SURTIDO LONCHERA ECONOMICA 6X1 BX6      </v>
          </cell>
        </row>
        <row r="226">
          <cell r="A226">
            <v>300033811</v>
          </cell>
          <cell r="B226" t="str">
            <v xml:space="preserve">SURTIDO HIPER LONCH 2X1 BX30            </v>
          </cell>
        </row>
        <row r="227">
          <cell r="A227">
            <v>300033812</v>
          </cell>
          <cell r="B227" t="str">
            <v xml:space="preserve">NATUCHIPS SURTIDO 4X1 BX14              </v>
          </cell>
        </row>
        <row r="228">
          <cell r="A228">
            <v>300033813</v>
          </cell>
          <cell r="B228" t="str">
            <v xml:space="preserve">DORITOS INFERNO SURTIDO 296GX4X1 BX8    </v>
          </cell>
        </row>
        <row r="229">
          <cell r="A229">
            <v>300033814</v>
          </cell>
          <cell r="B229" t="str">
            <v xml:space="preserve">DORITOS INFERNO PIQUE DIAB 37GX60X1     </v>
          </cell>
        </row>
        <row r="230">
          <cell r="A230">
            <v>300033815</v>
          </cell>
          <cell r="B230" t="str">
            <v xml:space="preserve">DORITOS INFERNO PIQUE DIAB 184GX15X1    </v>
          </cell>
        </row>
        <row r="231">
          <cell r="A231">
            <v>300033816</v>
          </cell>
          <cell r="B231" t="str">
            <v xml:space="preserve">DORITOS INFERNO CHILE APOC 37GX60X1     </v>
          </cell>
        </row>
        <row r="232">
          <cell r="A232">
            <v>300033817</v>
          </cell>
          <cell r="B232" t="str">
            <v xml:space="preserve">DORITOS INFERNO AJI ENDIAB 37GX60X1     </v>
          </cell>
        </row>
        <row r="233">
          <cell r="A233">
            <v>300033818</v>
          </cell>
          <cell r="B233" t="str">
            <v xml:space="preserve">DORITOS DIPPAS NATURAL 160GX14X1        </v>
          </cell>
        </row>
        <row r="234">
          <cell r="A234">
            <v>300033819</v>
          </cell>
          <cell r="B234" t="str">
            <v xml:space="preserve">DORITOS DINAMITA MOSTAZA 42GX96X1 EC    </v>
          </cell>
        </row>
        <row r="235">
          <cell r="A235">
            <v>300033820</v>
          </cell>
          <cell r="B235" t="str">
            <v xml:space="preserve">DORITOS DINAMITA LIMON 42GX96X1 EC      </v>
          </cell>
        </row>
        <row r="236">
          <cell r="A236">
            <v>300033821</v>
          </cell>
          <cell r="B236" t="str">
            <v xml:space="preserve">DORITOS DINAMITA LIMON 42GX96X1         </v>
          </cell>
        </row>
        <row r="237">
          <cell r="A237">
            <v>300033822</v>
          </cell>
          <cell r="B237" t="str">
            <v xml:space="preserve">DORITOS ATREVIDO QUESO 38GX60X1         </v>
          </cell>
        </row>
        <row r="238">
          <cell r="A238">
            <v>300033823</v>
          </cell>
          <cell r="B238" t="str">
            <v xml:space="preserve">CHOCLITOS LIMON 50GX44X1 PAKET          </v>
          </cell>
        </row>
        <row r="239">
          <cell r="A239">
            <v>300033824</v>
          </cell>
          <cell r="B239" t="str">
            <v xml:space="preserve">CHOCLITOS LIMON 29GX9X12 BX12 IMP       </v>
          </cell>
        </row>
        <row r="240">
          <cell r="A240">
            <v>300033825</v>
          </cell>
          <cell r="B240" t="str">
            <v xml:space="preserve">CHOCLITOS LIMON 29GX96X1 BOL            </v>
          </cell>
        </row>
        <row r="241">
          <cell r="A241">
            <v>300033826</v>
          </cell>
          <cell r="B241" t="str">
            <v xml:space="preserve">CHOCLITOS LIMON 27GX96X1 BOL            </v>
          </cell>
        </row>
        <row r="242">
          <cell r="A242">
            <v>300033827</v>
          </cell>
          <cell r="B242" t="str">
            <v xml:space="preserve">CHOCLITOS LIMON 27GX8X12                </v>
          </cell>
        </row>
        <row r="243">
          <cell r="A243">
            <v>300033828</v>
          </cell>
          <cell r="B243" t="str">
            <v xml:space="preserve">CHOCLITOS LIMON 230GX14X1               </v>
          </cell>
        </row>
        <row r="244">
          <cell r="A244">
            <v>300033829</v>
          </cell>
          <cell r="B244" t="str">
            <v xml:space="preserve">NATUCHIPS YUCA NATURAL 40GX6X8 BX8 IMP  </v>
          </cell>
        </row>
        <row r="245">
          <cell r="A245">
            <v>300033830</v>
          </cell>
          <cell r="B245" t="str">
            <v xml:space="preserve">NATUCHIPS YUCA NATURAL 125GX16X1        </v>
          </cell>
        </row>
        <row r="246">
          <cell r="A246">
            <v>300033831</v>
          </cell>
          <cell r="B246" t="str">
            <v xml:space="preserve">NATUCHIPS YUCA NATURAL 40GX1X35         </v>
          </cell>
        </row>
        <row r="247">
          <cell r="A247">
            <v>300033832</v>
          </cell>
          <cell r="B247" t="str">
            <v xml:space="preserve">CHEETOS CRISPETA QUES CHED 24GX4X6 TIR  </v>
          </cell>
        </row>
        <row r="248">
          <cell r="A248">
            <v>300033833</v>
          </cell>
          <cell r="B248" t="str">
            <v xml:space="preserve">CHOCLITOS LIMON 29GX8X12                </v>
          </cell>
        </row>
        <row r="249">
          <cell r="A249">
            <v>300033834</v>
          </cell>
          <cell r="B249" t="str">
            <v xml:space="preserve">CHOCLITOS LIMON 240GX14X1               </v>
          </cell>
        </row>
        <row r="250">
          <cell r="A250">
            <v>300033835</v>
          </cell>
          <cell r="B250" t="str">
            <v xml:space="preserve">CHEETOS BOLI QUESO 9X1 160G             </v>
          </cell>
        </row>
        <row r="251">
          <cell r="A251">
            <v>300033836</v>
          </cell>
          <cell r="B251" t="str">
            <v xml:space="preserve">SURT 10X1 CHEETOS MAXI56G+BOLIQ48G      </v>
          </cell>
        </row>
        <row r="252">
          <cell r="A252">
            <v>300033837</v>
          </cell>
          <cell r="B252" t="str">
            <v xml:space="preserve">FRITOLAY 8X1 MEZNUEC400G+MANPAS200G     </v>
          </cell>
        </row>
        <row r="253">
          <cell r="A253">
            <v>300033838</v>
          </cell>
          <cell r="B253" t="str">
            <v xml:space="preserve">CHOKIS 5X1 BX6 CHISP40G+BX6 EXTR52G     </v>
          </cell>
        </row>
        <row r="254">
          <cell r="A254">
            <v>300033839</v>
          </cell>
          <cell r="B254" t="str">
            <v xml:space="preserve">SURT 6X1 FL ARAN400G+RECCLALIMPIM145G   </v>
          </cell>
        </row>
        <row r="255">
          <cell r="A255">
            <v>300033840</v>
          </cell>
          <cell r="B255" t="str">
            <v>MARGARITA NAT 4X1 BX12X25G+GTX2DTDNAT45G</v>
          </cell>
        </row>
        <row r="256">
          <cell r="A256">
            <v>300033841</v>
          </cell>
          <cell r="B256" t="str">
            <v xml:space="preserve">CHOKIS 5X1 BX6CHISP40G+BX12SANDWFRES38G </v>
          </cell>
        </row>
        <row r="257">
          <cell r="A257">
            <v>300033842</v>
          </cell>
          <cell r="B257" t="str">
            <v xml:space="preserve">SURT 6X1 DTD NAT155G+DOR MQ185G         </v>
          </cell>
        </row>
        <row r="258">
          <cell r="A258">
            <v>300033843</v>
          </cell>
          <cell r="B258" t="str">
            <v xml:space="preserve">SURT 6X1 MGTANAT110G+NATUCHPVER135G     </v>
          </cell>
        </row>
        <row r="259">
          <cell r="A259">
            <v>300033844</v>
          </cell>
          <cell r="B259" t="str">
            <v xml:space="preserve">SURT 12X1 BOLIQ48G+CHEESETRIS93G        </v>
          </cell>
        </row>
        <row r="260">
          <cell r="A260">
            <v>300033845</v>
          </cell>
          <cell r="B260" t="str">
            <v xml:space="preserve">SURT MIX 18X1 GUDIZ28G+CHEETRIS52G      </v>
          </cell>
        </row>
        <row r="261">
          <cell r="A261">
            <v>300033846</v>
          </cell>
          <cell r="B261" t="str">
            <v xml:space="preserve">FRITOLAY 8X1 MEZNUEC400G+MANI SAL200G   </v>
          </cell>
        </row>
        <row r="262">
          <cell r="A262">
            <v>300033847</v>
          </cell>
          <cell r="B262" t="str">
            <v xml:space="preserve">SURT 6X1 MGTAPOLL110G+DTDNAT155G        </v>
          </cell>
        </row>
        <row r="263">
          <cell r="A263">
            <v>300033848</v>
          </cell>
          <cell r="B263" t="str">
            <v xml:space="preserve">SURT 6X1 MGTALIMO110G+DTDNAT155G        </v>
          </cell>
        </row>
        <row r="264">
          <cell r="A264">
            <v>300033849</v>
          </cell>
          <cell r="B264" t="str">
            <v xml:space="preserve">SURT 8X1 MGTAPOLL110G+FLAYMANIPAS200G   </v>
          </cell>
        </row>
        <row r="265">
          <cell r="A265">
            <v>300033850</v>
          </cell>
          <cell r="B265" t="str">
            <v xml:space="preserve">SURT 8X1 MGTALIMO110G+FLAYMANIPAS200G   </v>
          </cell>
        </row>
        <row r="266">
          <cell r="A266">
            <v>300033851</v>
          </cell>
          <cell r="B266" t="str">
            <v xml:space="preserve">DETODITO NAT 4X1 BX6X45G+GTX2DORMQ38G   </v>
          </cell>
        </row>
        <row r="267">
          <cell r="A267">
            <v>300033852</v>
          </cell>
          <cell r="B267" t="str">
            <v>MARGARITA RECCLA 3X1 BX6NA40G+BX6LPIM38G</v>
          </cell>
        </row>
        <row r="268">
          <cell r="A268">
            <v>300033853</v>
          </cell>
          <cell r="B268" t="str">
            <v xml:space="preserve">CHOKIS 7X1 BX6CHIS40G+BX12SANDWVAI38G   </v>
          </cell>
        </row>
        <row r="269">
          <cell r="A269">
            <v>300033854</v>
          </cell>
          <cell r="B269" t="str">
            <v xml:space="preserve">CHOCLITOS LIMON 6X1 BX12X27G+GTX2 MY    </v>
          </cell>
        </row>
        <row r="270">
          <cell r="A270">
            <v>300033855</v>
          </cell>
          <cell r="B270" t="str">
            <v xml:space="preserve">MGTA POLL 3X1 BX12X25G+GTX4CHEMAXINA35G </v>
          </cell>
        </row>
        <row r="271">
          <cell r="A271">
            <v>300033856</v>
          </cell>
          <cell r="B271" t="str">
            <v xml:space="preserve">MGTA NAT 3X1 BX12X25G+GTX4CHEMAXINA35G  </v>
          </cell>
        </row>
        <row r="272">
          <cell r="A272">
            <v>300033857</v>
          </cell>
          <cell r="B272" t="str">
            <v xml:space="preserve">MGTA LIM 3X1 BX12X25G+GTX4CHEMAXINA35G  </v>
          </cell>
        </row>
        <row r="273">
          <cell r="A273">
            <v>300033858</v>
          </cell>
          <cell r="B273" t="str">
            <v xml:space="preserve">CHEETOS MAXI NATURAL 10X1 AX3X35G       </v>
          </cell>
        </row>
        <row r="274">
          <cell r="A274">
            <v>300033859</v>
          </cell>
          <cell r="B274" t="str">
            <v>MARGARITA POLLO 6X1 110G + GTX2DTDNAT40G</v>
          </cell>
        </row>
        <row r="275">
          <cell r="A275">
            <v>300033860</v>
          </cell>
          <cell r="B275" t="str">
            <v>MARGARITA LIMON 6X1 110G + GTX2DTDNAT40G</v>
          </cell>
        </row>
        <row r="276">
          <cell r="A276">
            <v>300033861</v>
          </cell>
          <cell r="B276" t="str">
            <v xml:space="preserve">DETODITO BBQ 6X1 155G + GTX2DTDNAT40G   </v>
          </cell>
        </row>
        <row r="277">
          <cell r="A277">
            <v>300033862</v>
          </cell>
          <cell r="B277" t="str">
            <v xml:space="preserve">DETODITO NAT6X1 155G + GTX2DTDNAT40G    </v>
          </cell>
        </row>
        <row r="278">
          <cell r="A278">
            <v>300033863</v>
          </cell>
          <cell r="B278" t="str">
            <v xml:space="preserve">MARGARITA SUERO COST 31GX4X6            </v>
          </cell>
        </row>
        <row r="279">
          <cell r="A279">
            <v>300033864</v>
          </cell>
          <cell r="B279" t="str">
            <v xml:space="preserve">MARGARITA SUERO COST 31GX30X1 BOL       </v>
          </cell>
        </row>
        <row r="280">
          <cell r="A280">
            <v>300033865</v>
          </cell>
          <cell r="B280" t="str">
            <v>MARGARITA REC CLAS POLL BBQ 40GX30X1 BOL</v>
          </cell>
        </row>
        <row r="281">
          <cell r="A281">
            <v>300033866</v>
          </cell>
          <cell r="B281" t="str">
            <v xml:space="preserve">MARGARITA REC CLAS POLL BBQ 150GX12X1   </v>
          </cell>
        </row>
        <row r="282">
          <cell r="A282">
            <v>300033867</v>
          </cell>
          <cell r="B282" t="str">
            <v>MARGARITA REC CLAS POLBBQ 40GX5X6 BX6IMP</v>
          </cell>
        </row>
        <row r="283">
          <cell r="A283">
            <v>300033868</v>
          </cell>
          <cell r="B283" t="str">
            <v xml:space="preserve">MARGARITA REC CLAS NATURAL 40GX30X1 BOL </v>
          </cell>
        </row>
        <row r="284">
          <cell r="A284">
            <v>300033869</v>
          </cell>
          <cell r="B284" t="str">
            <v xml:space="preserve">MARGARITA REC CLAS NATURAL 150GX12X1    </v>
          </cell>
        </row>
        <row r="285">
          <cell r="A285">
            <v>300033870</v>
          </cell>
          <cell r="B285" t="str">
            <v>MARGARITA REC CLAS NATUR 40GX5X6 BX6 IMP</v>
          </cell>
        </row>
        <row r="286">
          <cell r="A286">
            <v>300033871</v>
          </cell>
          <cell r="B286" t="str">
            <v>MARGARITA REC CLAS LIMPI 38GX5X6 BX6 IMP</v>
          </cell>
        </row>
        <row r="287">
          <cell r="A287">
            <v>300033872</v>
          </cell>
          <cell r="B287" t="str">
            <v xml:space="preserve">MARGARITA REC CLAS LIM PIM 38GX30X1 BOL </v>
          </cell>
        </row>
        <row r="288">
          <cell r="A288">
            <v>300033873</v>
          </cell>
          <cell r="B288" t="str">
            <v xml:space="preserve">MARGARITA NATURAL 30GX30X1              </v>
          </cell>
        </row>
        <row r="289">
          <cell r="A289">
            <v>300033874</v>
          </cell>
          <cell r="B289" t="str">
            <v xml:space="preserve">MARGARITA NATURAL 25GX6X12 BX12 IMP     </v>
          </cell>
        </row>
        <row r="290">
          <cell r="A290">
            <v>300033875</v>
          </cell>
          <cell r="B290" t="str">
            <v xml:space="preserve">MARGARITA NATURAL 25GX6X12              </v>
          </cell>
        </row>
        <row r="291">
          <cell r="A291">
            <v>300033876</v>
          </cell>
          <cell r="B291" t="str">
            <v xml:space="preserve">MARGARITA NATURAL 25GX60X1              </v>
          </cell>
        </row>
        <row r="292">
          <cell r="A292">
            <v>300033877</v>
          </cell>
          <cell r="B292" t="str">
            <v>MARGARITA LIMON 127GX15X1 BP</v>
          </cell>
        </row>
        <row r="293">
          <cell r="A293">
            <v>300033878</v>
          </cell>
          <cell r="B293" t="str">
            <v xml:space="preserve">MARGARITA NATURAL 115GX12X1             </v>
          </cell>
        </row>
        <row r="294">
          <cell r="A294">
            <v>300033879</v>
          </cell>
          <cell r="B294" t="str">
            <v xml:space="preserve">MARGARITA NATURAL 110GX12X1             </v>
          </cell>
        </row>
        <row r="295">
          <cell r="A295">
            <v>300033880</v>
          </cell>
          <cell r="B295" t="str">
            <v xml:space="preserve">MARGARITA MAZORCA ASADA 28GX5X6         </v>
          </cell>
        </row>
        <row r="296">
          <cell r="A296">
            <v>300033881</v>
          </cell>
          <cell r="B296" t="str">
            <v xml:space="preserve">MARGARITA MAZORCA ASADA 28GX30X1 BOL    </v>
          </cell>
        </row>
        <row r="297">
          <cell r="A297">
            <v>300033882</v>
          </cell>
          <cell r="B297" t="str">
            <v xml:space="preserve">MARGARITA LIMON 48GX5X6                 </v>
          </cell>
        </row>
        <row r="298">
          <cell r="A298">
            <v>300033883</v>
          </cell>
          <cell r="B298" t="str">
            <v xml:space="preserve">MARGARITA LIMON 48GX24X1                </v>
          </cell>
        </row>
        <row r="299">
          <cell r="A299">
            <v>300033884</v>
          </cell>
          <cell r="B299" t="str">
            <v xml:space="preserve">MARGARITA LIMON 30GX60X1 BOL            </v>
          </cell>
        </row>
        <row r="300">
          <cell r="A300">
            <v>300033885</v>
          </cell>
          <cell r="B300" t="str">
            <v xml:space="preserve">MARGARITA LIMON 30GX5X12                </v>
          </cell>
        </row>
        <row r="301">
          <cell r="A301">
            <v>300033886</v>
          </cell>
          <cell r="B301" t="str">
            <v xml:space="preserve">MARGARITA LIMON 30GX30X1                </v>
          </cell>
        </row>
        <row r="302">
          <cell r="A302">
            <v>300033887</v>
          </cell>
          <cell r="B302" t="str">
            <v xml:space="preserve">MARGARITA LIMON 25GX6X12 BX12 IMP       </v>
          </cell>
        </row>
        <row r="303">
          <cell r="A303">
            <v>300033888</v>
          </cell>
          <cell r="B303" t="str">
            <v xml:space="preserve">MARGARITA LIMON 25GX6X12                </v>
          </cell>
        </row>
        <row r="304">
          <cell r="A304">
            <v>300033889</v>
          </cell>
          <cell r="B304" t="str">
            <v xml:space="preserve">MARGARITA LIMON 25GX60X1                </v>
          </cell>
        </row>
        <row r="305">
          <cell r="A305">
            <v>300033890</v>
          </cell>
          <cell r="B305" t="str">
            <v xml:space="preserve">MARGARITA LIMON 115GX12X1               </v>
          </cell>
        </row>
        <row r="306">
          <cell r="A306">
            <v>300033891</v>
          </cell>
          <cell r="B306" t="str">
            <v xml:space="preserve">MARGARITA LIMON 110GX12X1               </v>
          </cell>
        </row>
        <row r="307">
          <cell r="A307">
            <v>300033892</v>
          </cell>
          <cell r="B307" t="str">
            <v xml:space="preserve">MARGARITA JAMON MIEL 28GX4X10 BX10 IMP  </v>
          </cell>
        </row>
        <row r="308">
          <cell r="A308">
            <v>300033893</v>
          </cell>
          <cell r="B308" t="str">
            <v xml:space="preserve">CHEETOS CRISPETA QUES BLCO 25GX4X6 TIR  </v>
          </cell>
        </row>
        <row r="309">
          <cell r="A309">
            <v>300033895</v>
          </cell>
          <cell r="B309" t="str">
            <v xml:space="preserve">CHEETOS CRISPETA CARAMELO 72GX4X6 TIR   </v>
          </cell>
        </row>
        <row r="310">
          <cell r="A310">
            <v>300033896</v>
          </cell>
          <cell r="B310" t="str">
            <v xml:space="preserve">CHEETOS CRISPETA CARAMELO 20GX90X1      </v>
          </cell>
        </row>
        <row r="311">
          <cell r="A311">
            <v>300033897</v>
          </cell>
          <cell r="B311" t="str">
            <v xml:space="preserve">CHEETOS TRISSITOS PICANTE 27GX30X1      </v>
          </cell>
        </row>
        <row r="312">
          <cell r="A312">
            <v>300033898</v>
          </cell>
          <cell r="B312" t="str">
            <v xml:space="preserve">CHEETOS MAXI NATURAL 35GX30X1           </v>
          </cell>
        </row>
        <row r="313">
          <cell r="A313">
            <v>300033899</v>
          </cell>
          <cell r="B313" t="str">
            <v>MAMUT AREQUIPE 13GX1X200 NVA</v>
          </cell>
        </row>
        <row r="314">
          <cell r="A314">
            <v>300033900</v>
          </cell>
          <cell r="B314" t="str">
            <v>MAMUT AREQUIPE 13GX16X24</v>
          </cell>
        </row>
        <row r="315">
          <cell r="A315">
            <v>300033901</v>
          </cell>
          <cell r="B315" t="str">
            <v xml:space="preserve">CHOKIS SANDIWCH AREQUIPE 38GX10X12      </v>
          </cell>
        </row>
        <row r="316">
          <cell r="A316">
            <v>300033902</v>
          </cell>
          <cell r="B316" t="str">
            <v xml:space="preserve">CHOKIS CHISPAS BLACK 40GX1X80           </v>
          </cell>
        </row>
        <row r="317">
          <cell r="A317">
            <v>300033903</v>
          </cell>
          <cell r="B317" t="str">
            <v xml:space="preserve">CHOKIS CHISPAS BLACK 40GX13X6           </v>
          </cell>
        </row>
        <row r="318">
          <cell r="A318">
            <v>300033904</v>
          </cell>
          <cell r="B318" t="str">
            <v xml:space="preserve">DETODITO MAÑANITA 15GX1X84              </v>
          </cell>
        </row>
        <row r="319">
          <cell r="A319">
            <v>300033905</v>
          </cell>
          <cell r="B319" t="str">
            <v xml:space="preserve">DETODITO NATURAL 179GX9X1               </v>
          </cell>
        </row>
        <row r="320">
          <cell r="A320">
            <v>300033906</v>
          </cell>
          <cell r="B320" t="str">
            <v>DETODITO BBQ 179GX10X1</v>
          </cell>
        </row>
        <row r="321">
          <cell r="A321">
            <v>300033908</v>
          </cell>
          <cell r="B321" t="str">
            <v>FRITOLAY DLX CONF COCO 40GX10X12 DISPX12</v>
          </cell>
        </row>
        <row r="322">
          <cell r="A322">
            <v>300033909</v>
          </cell>
          <cell r="B322" t="str">
            <v xml:space="preserve">FRITOLAY DLX CONF COCO 170GX20X1        </v>
          </cell>
        </row>
        <row r="323">
          <cell r="A323">
            <v>300033910</v>
          </cell>
          <cell r="B323" t="str">
            <v>FRITOLAY DLX CONF ARAN 40GX10X12 DISPX12</v>
          </cell>
        </row>
        <row r="324">
          <cell r="A324">
            <v>300033911</v>
          </cell>
          <cell r="B324" t="str">
            <v xml:space="preserve">FRITOLAY DLX CONF ARAN 170GX20X1        </v>
          </cell>
        </row>
        <row r="325">
          <cell r="A325">
            <v>300033912</v>
          </cell>
          <cell r="B325" t="str">
            <v>MARGARITA SURT 2X1 110G 2POLL+3LIM P4LL5</v>
          </cell>
        </row>
        <row r="326">
          <cell r="A326">
            <v>300033913</v>
          </cell>
          <cell r="B326" t="str">
            <v xml:space="preserve">GUDIZ VAINILLA 28GX6X12                 </v>
          </cell>
        </row>
        <row r="327">
          <cell r="A327">
            <v>300033914</v>
          </cell>
          <cell r="B327" t="str">
            <v xml:space="preserve">GUDIZ VAINILLA 28GX1X70                 </v>
          </cell>
        </row>
        <row r="328">
          <cell r="A328">
            <v>300033915</v>
          </cell>
          <cell r="B328" t="str">
            <v xml:space="preserve">CHOKIS CHOCOLATE 19GX15X12 BX12 IMP     </v>
          </cell>
        </row>
        <row r="329">
          <cell r="A329">
            <v>300033916</v>
          </cell>
          <cell r="B329" t="str">
            <v xml:space="preserve">CHOKIS CHOCOLATE 19GX14X16              </v>
          </cell>
        </row>
        <row r="330">
          <cell r="A330">
            <v>300033917</v>
          </cell>
          <cell r="B330" t="str">
            <v xml:space="preserve">CHOKIS CHOCOLATE 19GX12X16 DISPX16      </v>
          </cell>
        </row>
        <row r="331">
          <cell r="A331">
            <v>300033918</v>
          </cell>
          <cell r="B331" t="str">
            <v xml:space="preserve">CHOKIS CHOCOLATE 19GX12X16 DISP         </v>
          </cell>
        </row>
        <row r="332">
          <cell r="A332">
            <v>300033919</v>
          </cell>
          <cell r="B332" t="str">
            <v xml:space="preserve">CHEETOS TRISSITOS PICANTE 50GX36X1      </v>
          </cell>
        </row>
        <row r="333">
          <cell r="A333">
            <v>300033920</v>
          </cell>
          <cell r="B333" t="str">
            <v xml:space="preserve">CHEETOS TRISSITOS PICANTE 16GX36X1 BOL  </v>
          </cell>
        </row>
        <row r="334">
          <cell r="A334">
            <v>300033921</v>
          </cell>
          <cell r="B334" t="str">
            <v xml:space="preserve">CHEETOS TRISSITOS PICANTE 125GX9X1      </v>
          </cell>
        </row>
        <row r="335">
          <cell r="A335">
            <v>300033922</v>
          </cell>
          <cell r="B335" t="str">
            <v xml:space="preserve">CHEETOS NATURAL 9GX1X96                 </v>
          </cell>
        </row>
        <row r="336">
          <cell r="A336">
            <v>300033923</v>
          </cell>
          <cell r="B336" t="str">
            <v xml:space="preserve">CHEETOS NATURAL 15GX7X12 BX12 IMP       </v>
          </cell>
        </row>
        <row r="337">
          <cell r="A337">
            <v>300033924</v>
          </cell>
          <cell r="B337" t="str">
            <v xml:space="preserve">CHEETOS NATURAL 15GX7X12                </v>
          </cell>
        </row>
        <row r="338">
          <cell r="A338">
            <v>300033925</v>
          </cell>
          <cell r="B338" t="str">
            <v xml:space="preserve">CHEETOS NATURAL 15GX1X40                </v>
          </cell>
        </row>
        <row r="339">
          <cell r="A339">
            <v>300033926</v>
          </cell>
          <cell r="B339" t="str">
            <v xml:space="preserve">CHEETOS NATURAL 15GX11X12 BX12          </v>
          </cell>
        </row>
        <row r="340">
          <cell r="A340">
            <v>300033927</v>
          </cell>
          <cell r="B340" t="str">
            <v xml:space="preserve">CHEETOS MAXI NATURAL 56GX36X1           </v>
          </cell>
        </row>
        <row r="341">
          <cell r="A341">
            <v>300033928</v>
          </cell>
          <cell r="B341" t="str">
            <v xml:space="preserve">CHEETOS MAXI NATURAL 20GX36X1 BOL       </v>
          </cell>
        </row>
        <row r="342">
          <cell r="A342">
            <v>300033929</v>
          </cell>
          <cell r="B342" t="str">
            <v xml:space="preserve">CHEETOS MAXI NATURAL 130GX9X1           </v>
          </cell>
        </row>
        <row r="343">
          <cell r="A343">
            <v>300033930</v>
          </cell>
          <cell r="B343" t="str">
            <v xml:space="preserve">CHEETOS CRUNCHY PICANTE 52GX9X6 IMP     </v>
          </cell>
        </row>
        <row r="344">
          <cell r="A344">
            <v>300033931</v>
          </cell>
          <cell r="B344" t="str">
            <v xml:space="preserve">CHEETOS CRUNCHY PICANTE 52GX3X6 TIR     </v>
          </cell>
        </row>
        <row r="345">
          <cell r="A345">
            <v>300033932</v>
          </cell>
          <cell r="B345" t="str">
            <v xml:space="preserve">CHEETOS CRUNCHY PICANTE 52GX30X1        </v>
          </cell>
        </row>
        <row r="346">
          <cell r="A346">
            <v>300033933</v>
          </cell>
          <cell r="B346" t="str">
            <v xml:space="preserve">CHOKIS SANDW FUDGE BLAN 16GX1X200 NAV   </v>
          </cell>
        </row>
        <row r="347">
          <cell r="A347">
            <v>300033934</v>
          </cell>
          <cell r="B347" t="str">
            <v>CHOKIS SANDW FUDGE BLAN 16GX15X20 DISX20</v>
          </cell>
        </row>
        <row r="348">
          <cell r="A348">
            <v>300033939</v>
          </cell>
          <cell r="B348" t="str">
            <v xml:space="preserve">CHOKIS SANDIWCH FRESA 9.5GX1X200 NAV    </v>
          </cell>
        </row>
        <row r="349">
          <cell r="A349">
            <v>300033942</v>
          </cell>
          <cell r="B349" t="str">
            <v xml:space="preserve">CHOKIS EXTRA CHOCOLATE 52GX6X15         </v>
          </cell>
        </row>
        <row r="350">
          <cell r="A350">
            <v>300033943</v>
          </cell>
          <cell r="B350" t="str">
            <v xml:space="preserve">CHOKIS EXTRA CHOCOLATE 52GX3X18 DISX18  </v>
          </cell>
        </row>
        <row r="351">
          <cell r="A351">
            <v>300033944</v>
          </cell>
          <cell r="B351" t="str">
            <v xml:space="preserve">CHOKIS EXTRA CHOCOLATE 52GX1X80         </v>
          </cell>
        </row>
        <row r="352">
          <cell r="A352">
            <v>300033945</v>
          </cell>
          <cell r="B352" t="str">
            <v xml:space="preserve">CHOKIS EXTRA CHOCOLATE 52GX13X6         </v>
          </cell>
        </row>
        <row r="353">
          <cell r="A353">
            <v>300033946</v>
          </cell>
          <cell r="B353" t="str">
            <v xml:space="preserve">CHOKIS EXTRA CHOCOLATE 13GX9X50         </v>
          </cell>
        </row>
        <row r="354">
          <cell r="A354">
            <v>300033947</v>
          </cell>
          <cell r="B354" t="str">
            <v xml:space="preserve">CHOKIS EXTRA CHOCOLATE 13GX1X450        </v>
          </cell>
        </row>
        <row r="355">
          <cell r="A355">
            <v>300033948</v>
          </cell>
          <cell r="B355" t="str">
            <v xml:space="preserve">CHOKIS EXTRA CHOCOLATE 13GX1X200 NAV    </v>
          </cell>
        </row>
        <row r="356">
          <cell r="A356">
            <v>300033949</v>
          </cell>
          <cell r="B356" t="str">
            <v xml:space="preserve">CHOKIS CHISPAS 40GX6X15 DISX15          </v>
          </cell>
        </row>
        <row r="357">
          <cell r="A357">
            <v>300033950</v>
          </cell>
          <cell r="B357" t="str">
            <v xml:space="preserve">CHOKIS CHISPAS 40GX3X18 DISX18          </v>
          </cell>
        </row>
        <row r="358">
          <cell r="A358">
            <v>300033951</v>
          </cell>
          <cell r="B358" t="str">
            <v xml:space="preserve">CHOKIS CHISPAS  40GX1X80                </v>
          </cell>
        </row>
        <row r="359">
          <cell r="A359">
            <v>300033952</v>
          </cell>
          <cell r="B359" t="str">
            <v xml:space="preserve">DORITOS MQ 4X1 BX10X38G+GTX2 MMOTO40G   </v>
          </cell>
        </row>
        <row r="360">
          <cell r="A360">
            <v>300033953</v>
          </cell>
          <cell r="B360" t="str">
            <v xml:space="preserve">MAMUT CHO8X1 BX6BLCA26G+BX6OSC26G       </v>
          </cell>
        </row>
        <row r="361">
          <cell r="A361">
            <v>300033954</v>
          </cell>
          <cell r="B361" t="str">
            <v xml:space="preserve">SURT 3X1 BX12MGTNA25G+BX12NCHPVE28G     </v>
          </cell>
        </row>
        <row r="362">
          <cell r="A362">
            <v>300033955</v>
          </cell>
          <cell r="B362" t="str">
            <v xml:space="preserve">SURT 2X1 BX10DORMQ38G+BX6DTDNAT45G      </v>
          </cell>
        </row>
        <row r="363">
          <cell r="A363">
            <v>300033956</v>
          </cell>
          <cell r="B363" t="str">
            <v>SURT 2X1 BX12JACKSCH15G+BX12CRONCHQUE22G</v>
          </cell>
        </row>
        <row r="364">
          <cell r="A364">
            <v>300033957</v>
          </cell>
          <cell r="B364" t="str">
            <v>SURT 6X1 MGTARCLASLPIM145G+NCHPSARRO140G</v>
          </cell>
        </row>
        <row r="365">
          <cell r="A365">
            <v>300033958</v>
          </cell>
          <cell r="B365" t="str">
            <v>FRITOLAY 12X1 PASASCHOC200G+MANICHOC200G</v>
          </cell>
        </row>
        <row r="366">
          <cell r="A366">
            <v>300033959</v>
          </cell>
          <cell r="B366" t="str">
            <v xml:space="preserve">FRITOLAY 5X1 MEZNUEC400G+ARAND400G      </v>
          </cell>
        </row>
        <row r="367">
          <cell r="A367">
            <v>300033960</v>
          </cell>
          <cell r="B367" t="str">
            <v>SURT MIXTO 6X1 FLMEZNUEC400G+NCHPARR140G</v>
          </cell>
        </row>
        <row r="368">
          <cell r="A368">
            <v>300033961</v>
          </cell>
          <cell r="B368" t="str">
            <v>CHOKIS EXTRA 8X1 BX6X52G+GTX2SNDWFRES38G</v>
          </cell>
        </row>
        <row r="369">
          <cell r="A369">
            <v>300033962</v>
          </cell>
          <cell r="B369" t="str">
            <v xml:space="preserve">CHOKIS CHO 4X1 BX16CHSP16G+BX16BLCK16G  </v>
          </cell>
        </row>
        <row r="370">
          <cell r="A370">
            <v>300033963</v>
          </cell>
          <cell r="B370" t="str">
            <v>QUAKER CHO 13X1 BX6X34G+GT1YG32G+1CAP32G</v>
          </cell>
        </row>
        <row r="371">
          <cell r="A371">
            <v>300033964</v>
          </cell>
          <cell r="B371" t="str">
            <v xml:space="preserve">SURT 15X1 DORITOSMQ30G + TRISSITOS27G   </v>
          </cell>
        </row>
        <row r="372">
          <cell r="A372">
            <v>300033965</v>
          </cell>
          <cell r="B372" t="str">
            <v xml:space="preserve">DETODITO SURTIDO 270GX3X1               </v>
          </cell>
        </row>
        <row r="373">
          <cell r="A373">
            <v>300033966</v>
          </cell>
          <cell r="B373" t="str">
            <v xml:space="preserve">SURT SUP LONCH 7X1 BX12+GTX1CHOKEXT52G  </v>
          </cell>
        </row>
        <row r="374">
          <cell r="A374">
            <v>300033967</v>
          </cell>
          <cell r="B374" t="str">
            <v xml:space="preserve">SURT SUP LONCH 7X1 BX12+GTX1CHOKCHI52G  </v>
          </cell>
        </row>
        <row r="375">
          <cell r="A375">
            <v>300033968</v>
          </cell>
          <cell r="B375" t="str">
            <v xml:space="preserve">CHEETOS MAXI NATURAL 9X1 130G           </v>
          </cell>
        </row>
        <row r="376">
          <cell r="A376">
            <v>300033969</v>
          </cell>
          <cell r="B376" t="str">
            <v xml:space="preserve">CHEETOS TRISSITOS PICANTE 9X1 125G      </v>
          </cell>
        </row>
        <row r="377">
          <cell r="A377">
            <v>300033970</v>
          </cell>
          <cell r="B377" t="str">
            <v xml:space="preserve">DETODITO NATURAL 3X1 BX12X45G+GTX1X45G  </v>
          </cell>
        </row>
        <row r="378">
          <cell r="A378">
            <v>300033971</v>
          </cell>
          <cell r="B378" t="str">
            <v xml:space="preserve">MARGARITA REC CLAS LIM PIM 145GX12X1    </v>
          </cell>
        </row>
        <row r="379">
          <cell r="A379">
            <v>300033972</v>
          </cell>
          <cell r="B379" t="str">
            <v xml:space="preserve">MARGARITA POLLO 48GX5X6                 </v>
          </cell>
        </row>
        <row r="380">
          <cell r="A380">
            <v>300033973</v>
          </cell>
          <cell r="B380" t="str">
            <v xml:space="preserve">MARGARITA POLLO 48GX24X1                </v>
          </cell>
        </row>
        <row r="381">
          <cell r="A381">
            <v>300033974</v>
          </cell>
          <cell r="B381" t="str">
            <v xml:space="preserve">MARGARITA POLLO 30GX60X1 BOL            </v>
          </cell>
        </row>
        <row r="382">
          <cell r="A382">
            <v>300033975</v>
          </cell>
          <cell r="B382" t="str">
            <v xml:space="preserve">MARGARITA POLLO 30GX5X12                </v>
          </cell>
        </row>
        <row r="383">
          <cell r="A383">
            <v>300033976</v>
          </cell>
          <cell r="B383" t="str">
            <v xml:space="preserve">MARGARITA POLLO 30GX30X1                </v>
          </cell>
        </row>
        <row r="384">
          <cell r="A384">
            <v>300033977</v>
          </cell>
          <cell r="B384" t="str">
            <v xml:space="preserve">MARGARITA POLLO 25GX6X12 BX12 IMP       </v>
          </cell>
        </row>
        <row r="385">
          <cell r="A385">
            <v>300033978</v>
          </cell>
          <cell r="B385" t="str">
            <v xml:space="preserve">MARGARITA POLLO 25GX6X12                </v>
          </cell>
        </row>
        <row r="386">
          <cell r="A386">
            <v>300033979</v>
          </cell>
          <cell r="B386" t="str">
            <v xml:space="preserve">MARGARITA POLLO 25GX60X1                </v>
          </cell>
        </row>
        <row r="387">
          <cell r="A387">
            <v>300033980</v>
          </cell>
          <cell r="B387" t="str">
            <v xml:space="preserve">MARGARITA POLLO 250GX8X1                </v>
          </cell>
        </row>
        <row r="388">
          <cell r="A388">
            <v>300033981</v>
          </cell>
          <cell r="B388" t="str">
            <v>MARGARITA POLLO 127GX15X1 BP</v>
          </cell>
        </row>
        <row r="389">
          <cell r="A389">
            <v>300033982</v>
          </cell>
          <cell r="B389" t="str">
            <v xml:space="preserve">MARGARITA POLLO 115GX12X1               </v>
          </cell>
        </row>
        <row r="390">
          <cell r="A390">
            <v>300033983</v>
          </cell>
          <cell r="B390" t="str">
            <v xml:space="preserve">MARGARITA POLLO 110GX12X1               </v>
          </cell>
        </row>
        <row r="391">
          <cell r="A391">
            <v>300033984</v>
          </cell>
          <cell r="B391" t="str">
            <v xml:space="preserve">MARGARITA ONDULADA TOMATE 32GX30X1      </v>
          </cell>
        </row>
        <row r="392">
          <cell r="A392">
            <v>300033985</v>
          </cell>
          <cell r="B392" t="str">
            <v xml:space="preserve">MARGARITA ONDULADA TOMATE 110GX12X1     </v>
          </cell>
        </row>
        <row r="393">
          <cell r="A393">
            <v>300033986</v>
          </cell>
          <cell r="B393" t="str">
            <v>MARGARITA ONDULADA TOM 32GX4X10 BX10 IMP</v>
          </cell>
        </row>
        <row r="394">
          <cell r="A394">
            <v>300033987</v>
          </cell>
          <cell r="B394" t="str">
            <v xml:space="preserve">MARGARITA ONDULADA MAYONESA 32GX30X1    </v>
          </cell>
        </row>
        <row r="395">
          <cell r="A395">
            <v>300033988</v>
          </cell>
          <cell r="B395" t="str">
            <v xml:space="preserve">MARGARITA ONDULADA MAYONESA 110GX12X1   </v>
          </cell>
        </row>
        <row r="396">
          <cell r="A396">
            <v>300033989</v>
          </cell>
          <cell r="B396" t="str">
            <v xml:space="preserve">MARGARITA NATURAL 30GX60X1 BOL          </v>
          </cell>
        </row>
        <row r="397">
          <cell r="A397">
            <v>300033990</v>
          </cell>
          <cell r="B397" t="str">
            <v xml:space="preserve">MARGARITA NATURAL 30GX5X12              </v>
          </cell>
        </row>
        <row r="398">
          <cell r="A398">
            <v>300033991</v>
          </cell>
          <cell r="B398" t="str">
            <v xml:space="preserve">CHEETOS BOLI QUESO 48GX36X1             </v>
          </cell>
        </row>
        <row r="399">
          <cell r="A399">
            <v>300033992</v>
          </cell>
          <cell r="B399" t="str">
            <v xml:space="preserve">CHEETOS BOLI QUESO 21GX4X12             </v>
          </cell>
        </row>
        <row r="400">
          <cell r="A400">
            <v>300033993</v>
          </cell>
          <cell r="B400" t="str">
            <v xml:space="preserve">CHEETOS BOLI QUESO 21GX1X35             </v>
          </cell>
        </row>
        <row r="401">
          <cell r="A401">
            <v>300033994</v>
          </cell>
          <cell r="B401" t="str">
            <v xml:space="preserve">CHEETOS BOLI QUESO 160GX9X1             </v>
          </cell>
        </row>
        <row r="402">
          <cell r="A402">
            <v>300033995</v>
          </cell>
          <cell r="B402" t="str">
            <v xml:space="preserve">CHEETOS BOLI QUESO 21GX6X12 PACA        </v>
          </cell>
        </row>
        <row r="403">
          <cell r="A403">
            <v>300033996</v>
          </cell>
          <cell r="B403" t="str">
            <v xml:space="preserve">CHEESE TRIS TOCINETA 38GX7X8            </v>
          </cell>
        </row>
        <row r="404">
          <cell r="A404">
            <v>300033997</v>
          </cell>
          <cell r="B404" t="str">
            <v xml:space="preserve">CHEESE TRIS QUESO 95GX34X1              </v>
          </cell>
        </row>
        <row r="405">
          <cell r="A405">
            <v>300033998</v>
          </cell>
          <cell r="B405" t="str">
            <v xml:space="preserve">CHEESE TRIS QUESO 93GX34X1              </v>
          </cell>
        </row>
        <row r="406">
          <cell r="A406">
            <v>300033999</v>
          </cell>
          <cell r="B406" t="str">
            <v xml:space="preserve">CHEESE TRIS QUESO 52GX9X6 BX6 IMP       </v>
          </cell>
        </row>
        <row r="407">
          <cell r="A407">
            <v>300034000</v>
          </cell>
          <cell r="B407" t="str">
            <v xml:space="preserve">CHEESE TRIS QUESO 52GX6X12 PACA         </v>
          </cell>
        </row>
        <row r="408">
          <cell r="A408">
            <v>300034001</v>
          </cell>
          <cell r="B408" t="str">
            <v xml:space="preserve">CHEESE TRIS QUESO 52GX5X12              </v>
          </cell>
        </row>
        <row r="409">
          <cell r="A409">
            <v>300034002</v>
          </cell>
          <cell r="B409" t="str">
            <v xml:space="preserve">CHEESE TRIS QUESO 52GX1X30              </v>
          </cell>
        </row>
        <row r="410">
          <cell r="A410">
            <v>300034003</v>
          </cell>
          <cell r="B410" t="str">
            <v xml:space="preserve">NAVIDAD MANTEQUILLA 8GX1X312            </v>
          </cell>
        </row>
        <row r="411">
          <cell r="A411">
            <v>300034004</v>
          </cell>
          <cell r="B411" t="str">
            <v xml:space="preserve">NAVIDAD MANTEQUILLA 250GX12X1           </v>
          </cell>
        </row>
        <row r="412">
          <cell r="A412">
            <v>300034005</v>
          </cell>
          <cell r="B412" t="str">
            <v xml:space="preserve">NAVIDAD MANTEQUILLA 180GX12X1           </v>
          </cell>
        </row>
        <row r="413">
          <cell r="A413">
            <v>300034006</v>
          </cell>
          <cell r="B413" t="str">
            <v xml:space="preserve">NAVIDAD MANTEQUILLA 130GX12X1           </v>
          </cell>
        </row>
        <row r="414">
          <cell r="A414">
            <v>300034007</v>
          </cell>
          <cell r="B414" t="str">
            <v xml:space="preserve">NAVIDAD ANCHETA 249GX9X1 GRANEL         </v>
          </cell>
        </row>
        <row r="415">
          <cell r="A415">
            <v>300034008</v>
          </cell>
          <cell r="B415" t="str">
            <v xml:space="preserve">NAVIDAD ANCHETA 220GX12X1               </v>
          </cell>
        </row>
        <row r="416">
          <cell r="A416">
            <v>300034009</v>
          </cell>
          <cell r="B416" t="str">
            <v xml:space="preserve">MAMUT OSCURO 26GX1X100                  </v>
          </cell>
        </row>
        <row r="417">
          <cell r="A417">
            <v>300034010</v>
          </cell>
          <cell r="B417" t="str">
            <v xml:space="preserve">CHOKIS CHISPAS  40GX1X80 ENF            </v>
          </cell>
        </row>
        <row r="418">
          <cell r="A418">
            <v>300034011</v>
          </cell>
          <cell r="B418" t="str">
            <v xml:space="preserve">CHOKIS CHISPAS 40GX13X6                 </v>
          </cell>
        </row>
        <row r="419">
          <cell r="A419">
            <v>300034012</v>
          </cell>
          <cell r="B419" t="str">
            <v xml:space="preserve">DETODITO MAÑANITA 40GX4X6 BX6 IMP       </v>
          </cell>
        </row>
        <row r="420">
          <cell r="A420">
            <v>300034013</v>
          </cell>
          <cell r="B420" t="str">
            <v xml:space="preserve">DETODITO MAÑANITA 40GX1X30              </v>
          </cell>
        </row>
        <row r="421">
          <cell r="A421">
            <v>300034014</v>
          </cell>
          <cell r="B421" t="str">
            <v>CRONCH ROSQUITAS QUESO 22GX5X12 BX12 IMP</v>
          </cell>
        </row>
        <row r="422">
          <cell r="A422">
            <v>300034015</v>
          </cell>
          <cell r="B422" t="str">
            <v xml:space="preserve">CRONCH ROSQUITAS QUESO 22GX5X12         </v>
          </cell>
        </row>
        <row r="423">
          <cell r="A423">
            <v>300034016</v>
          </cell>
          <cell r="B423" t="str">
            <v xml:space="preserve">CRONCH ROSQUITAS QUESO 22GX1X66         </v>
          </cell>
        </row>
        <row r="424">
          <cell r="A424">
            <v>300034018</v>
          </cell>
          <cell r="B424" t="str">
            <v>FRITOLAY URUBAMBA NATUR 38GX8X12 DISPX12</v>
          </cell>
        </row>
        <row r="425">
          <cell r="A425">
            <v>300034019</v>
          </cell>
          <cell r="B425" t="str">
            <v xml:space="preserve">LAYS STAX NATURAL 140GX14X1             </v>
          </cell>
        </row>
        <row r="426">
          <cell r="A426">
            <v>300034020</v>
          </cell>
          <cell r="B426" t="str">
            <v xml:space="preserve">LAYS STAX CHEDDAR 140GX14X1             </v>
          </cell>
        </row>
        <row r="427">
          <cell r="A427">
            <v>300034021</v>
          </cell>
          <cell r="B427" t="str">
            <v xml:space="preserve">LAYS STAX CEBOLLA 140GX14X1             </v>
          </cell>
        </row>
        <row r="428">
          <cell r="A428">
            <v>300034022</v>
          </cell>
          <cell r="B428" t="str">
            <v xml:space="preserve">DETODITO PAKETAXO NATURAL 450GX5X1      </v>
          </cell>
        </row>
        <row r="429">
          <cell r="A429">
            <v>300034023</v>
          </cell>
          <cell r="B429" t="str">
            <v xml:space="preserve">DETODITO PAKETAXO BBQ 450GX5X1          </v>
          </cell>
        </row>
        <row r="430">
          <cell r="A430">
            <v>300034024</v>
          </cell>
          <cell r="B430" t="str">
            <v xml:space="preserve">DETODITO NATURAL 45GX5X12               </v>
          </cell>
        </row>
        <row r="431">
          <cell r="A431">
            <v>300034025</v>
          </cell>
          <cell r="B431" t="str">
            <v xml:space="preserve">DETODITO NATURAL 45GX30X1               </v>
          </cell>
        </row>
        <row r="432">
          <cell r="A432">
            <v>300034026</v>
          </cell>
          <cell r="B432" t="str">
            <v xml:space="preserve">DETODITO NATURAL 155GX12X1              </v>
          </cell>
        </row>
        <row r="433">
          <cell r="A433">
            <v>300034027</v>
          </cell>
          <cell r="B433" t="str">
            <v xml:space="preserve">DETODITO MIX 45GX5X12                   </v>
          </cell>
        </row>
        <row r="434">
          <cell r="A434">
            <v>300034028</v>
          </cell>
          <cell r="B434" t="str">
            <v xml:space="preserve">DETODITO MIX 45GX30X1                   </v>
          </cell>
        </row>
        <row r="435">
          <cell r="A435">
            <v>300034029</v>
          </cell>
          <cell r="B435" t="str">
            <v xml:space="preserve">DETODITO MIX 155GX12X1                  </v>
          </cell>
        </row>
        <row r="436">
          <cell r="A436">
            <v>300034030</v>
          </cell>
          <cell r="B436" t="str">
            <v xml:space="preserve">MARGARITA JAMON MIEL 28GX30X1           </v>
          </cell>
        </row>
        <row r="437">
          <cell r="A437">
            <v>300034031</v>
          </cell>
          <cell r="B437" t="str">
            <v xml:space="preserve">MARGARITA FOSFORITO NATURAL 35GX11X8    </v>
          </cell>
        </row>
        <row r="438">
          <cell r="A438">
            <v>300034032</v>
          </cell>
          <cell r="B438" t="str">
            <v xml:space="preserve">MARGARITA FOSFORITO NATURAL 185GX22X1   </v>
          </cell>
        </row>
        <row r="439">
          <cell r="A439">
            <v>300034033</v>
          </cell>
          <cell r="B439" t="str">
            <v xml:space="preserve">MARGARITA FOSFORITO NATURAL 182GX16X1   </v>
          </cell>
        </row>
        <row r="440">
          <cell r="A440">
            <v>300034034</v>
          </cell>
          <cell r="B440" t="str">
            <v xml:space="preserve">MARGARITA CHORIZO LIMON 30GX30X1        </v>
          </cell>
        </row>
        <row r="441">
          <cell r="A441">
            <v>300034035</v>
          </cell>
          <cell r="B441" t="str">
            <v xml:space="preserve">MARGARITA CHORIZO LIM 30GX4X10 BX10 IMP </v>
          </cell>
        </row>
        <row r="442">
          <cell r="A442">
            <v>300034036</v>
          </cell>
          <cell r="B442" t="str">
            <v xml:space="preserve">MARGARITA CHICH CARNUDO 28GX30X1 CP BOL </v>
          </cell>
        </row>
        <row r="443">
          <cell r="A443">
            <v>300034037</v>
          </cell>
          <cell r="B443" t="str">
            <v xml:space="preserve">MARGARITA BBQ 30GX60X1 BOL              </v>
          </cell>
        </row>
        <row r="444">
          <cell r="A444">
            <v>300034038</v>
          </cell>
          <cell r="B444" t="str">
            <v xml:space="preserve">MARGARITA BBQ 30GX5X12                  </v>
          </cell>
        </row>
        <row r="445">
          <cell r="A445">
            <v>300034039</v>
          </cell>
          <cell r="B445" t="str">
            <v xml:space="preserve">MARGARITA BBQ 25GX6X12 BX12 IMP         </v>
          </cell>
        </row>
        <row r="446">
          <cell r="A446">
            <v>300034040</v>
          </cell>
          <cell r="B446" t="str">
            <v xml:space="preserve">MARGARITA BBQ 25GX6X12                  </v>
          </cell>
        </row>
        <row r="447">
          <cell r="A447">
            <v>300034041</v>
          </cell>
          <cell r="B447" t="str">
            <v xml:space="preserve">LAYS POTATO STICKS 141.7GX32X1 PR       </v>
          </cell>
        </row>
        <row r="448">
          <cell r="A448">
            <v>300034042</v>
          </cell>
          <cell r="B448" t="str">
            <v xml:space="preserve">RAQUETY TOCINETA 15GX70X1               </v>
          </cell>
        </row>
        <row r="449">
          <cell r="A449">
            <v>300034043</v>
          </cell>
          <cell r="B449" t="str">
            <v xml:space="preserve">RAQUETY TOCINETA 15GX1X80               </v>
          </cell>
        </row>
        <row r="450">
          <cell r="A450">
            <v>300034044</v>
          </cell>
          <cell r="B450" t="str">
            <v xml:space="preserve">PALITOS NATURAL 34GX12X12               </v>
          </cell>
        </row>
        <row r="451">
          <cell r="A451">
            <v>300034045</v>
          </cell>
          <cell r="B451" t="str">
            <v xml:space="preserve">JACKS CHICHARRON NATURAL 15GX66X1       </v>
          </cell>
        </row>
        <row r="452">
          <cell r="A452">
            <v>300034046</v>
          </cell>
          <cell r="B452" t="str">
            <v xml:space="preserve">JACKS CHICHARRON NATURAL 15GX5X12       </v>
          </cell>
        </row>
        <row r="453">
          <cell r="A453">
            <v>300034047</v>
          </cell>
          <cell r="B453" t="str">
            <v xml:space="preserve">JACKS CHICHARRON NATURAL 100GX10X1      </v>
          </cell>
        </row>
        <row r="454">
          <cell r="A454">
            <v>300034048</v>
          </cell>
          <cell r="B454" t="str">
            <v>JACKS CHICHARRON NATUR 15GX5X12 BX12 IMP</v>
          </cell>
        </row>
        <row r="455">
          <cell r="A455">
            <v>300034049</v>
          </cell>
          <cell r="B455" t="str">
            <v xml:space="preserve">NATUCHIPS WAVY LIMON 40GX9X6            </v>
          </cell>
        </row>
        <row r="456">
          <cell r="A456">
            <v>300034050</v>
          </cell>
          <cell r="B456" t="str">
            <v>MGTA SURT 2X1 110G 3POLL+1LIM+1NAT P4LL5</v>
          </cell>
        </row>
        <row r="457">
          <cell r="A457">
            <v>300034051</v>
          </cell>
          <cell r="B457" t="str">
            <v xml:space="preserve">DETODITO NATURAL 2X1 155G P4 LL5        </v>
          </cell>
        </row>
        <row r="458">
          <cell r="A458">
            <v>300034052</v>
          </cell>
          <cell r="B458" t="str">
            <v xml:space="preserve">DETODITO BBQ 2X1 155G P4 LL5            </v>
          </cell>
        </row>
        <row r="459">
          <cell r="A459">
            <v>300034053</v>
          </cell>
          <cell r="B459" t="str">
            <v xml:space="preserve">DETODITO MIX 2X1 155G P4 LL5            </v>
          </cell>
        </row>
        <row r="460">
          <cell r="A460">
            <v>300034054</v>
          </cell>
          <cell r="B460" t="str">
            <v xml:space="preserve">DTD SURT 2X1 155G 2NAT+2BBQ+1MIX P4LL5  </v>
          </cell>
        </row>
        <row r="461">
          <cell r="A461">
            <v>300034055</v>
          </cell>
          <cell r="B461" t="str">
            <v xml:space="preserve">DETODITO NATURAL2X1 45G P12 LL13        </v>
          </cell>
        </row>
        <row r="462">
          <cell r="A462">
            <v>300034056</v>
          </cell>
          <cell r="B462" t="str">
            <v xml:space="preserve">DETODITO MIX 2X1 45G P12 LL13           </v>
          </cell>
        </row>
        <row r="463">
          <cell r="A463">
            <v>300034057</v>
          </cell>
          <cell r="B463" t="str">
            <v xml:space="preserve">DETODITO BBQ 2X1 45G P12 LL13           </v>
          </cell>
        </row>
        <row r="464">
          <cell r="A464">
            <v>300034058</v>
          </cell>
          <cell r="B464" t="str">
            <v xml:space="preserve">DETODITO BBQ 2X1 45G P12 LL14           </v>
          </cell>
        </row>
        <row r="465">
          <cell r="A465">
            <v>300034059</v>
          </cell>
          <cell r="B465" t="str">
            <v>CHOKIS SNDW SUR 2X1 BX12X38G 1CH+1FR+2VA</v>
          </cell>
        </row>
        <row r="466">
          <cell r="A466">
            <v>300034060</v>
          </cell>
          <cell r="B466" t="str">
            <v xml:space="preserve">MAMUT BLANCO 2X1 DISX42X13G P2 LL3      </v>
          </cell>
        </row>
        <row r="467">
          <cell r="A467">
            <v>300034061</v>
          </cell>
          <cell r="B467" t="str">
            <v xml:space="preserve">MAMUT OSCURO 2X1 DISX42X13G P2 LL3      </v>
          </cell>
        </row>
        <row r="468">
          <cell r="A468">
            <v>300034062</v>
          </cell>
          <cell r="B468" t="str">
            <v xml:space="preserve">CHOKIS SNDW CHOCO 1X1 BX12X38G P9 LL10  </v>
          </cell>
        </row>
        <row r="469">
          <cell r="A469">
            <v>300034063</v>
          </cell>
          <cell r="B469" t="str">
            <v xml:space="preserve">NATUCHIPS 4X1 BX12VER28G+BX12MAD28G     </v>
          </cell>
        </row>
        <row r="470">
          <cell r="A470">
            <v>300034064</v>
          </cell>
          <cell r="B470" t="str">
            <v>MARGARITA NATURAL 240GX5X1</v>
          </cell>
        </row>
        <row r="471">
          <cell r="A471">
            <v>300034065</v>
          </cell>
          <cell r="B471" t="str">
            <v xml:space="preserve">MARGARITA MARACUYA 28GX30X1             </v>
          </cell>
        </row>
        <row r="472">
          <cell r="A472">
            <v>300034066</v>
          </cell>
          <cell r="B472" t="str">
            <v xml:space="preserve">MARGARITA MANDARINA 28GX30X1            </v>
          </cell>
        </row>
        <row r="473">
          <cell r="A473">
            <v>300034067</v>
          </cell>
          <cell r="B473" t="str">
            <v xml:space="preserve">GALL QUAKER MINI MAN CA 40GX1X72 CAR    </v>
          </cell>
        </row>
        <row r="474">
          <cell r="A474">
            <v>300034068</v>
          </cell>
          <cell r="B474" t="str">
            <v>MARGARITA CITRUS SURT 280GX4X10 BX10X28G</v>
          </cell>
        </row>
        <row r="475">
          <cell r="A475">
            <v>300034069</v>
          </cell>
          <cell r="B475" t="str">
            <v>MARGARITA CITRUS SURT 168GX3X1 TIRX6X28G</v>
          </cell>
        </row>
        <row r="476">
          <cell r="A476">
            <v>300034070</v>
          </cell>
          <cell r="B476" t="str">
            <v xml:space="preserve">MAMUT OSCURO 26GX18X6                   </v>
          </cell>
        </row>
        <row r="477">
          <cell r="A477">
            <v>300034071</v>
          </cell>
          <cell r="B477" t="str">
            <v xml:space="preserve">MAMUT OSCURO 13GX8X24 BOLX24            </v>
          </cell>
        </row>
        <row r="478">
          <cell r="A478">
            <v>300034072</v>
          </cell>
          <cell r="B478" t="str">
            <v xml:space="preserve">MAMUT OSCURO 13GX6X42 DISX42            </v>
          </cell>
        </row>
        <row r="479">
          <cell r="A479">
            <v>300034073</v>
          </cell>
          <cell r="B479" t="str">
            <v xml:space="preserve">MAMUT OSCURO 13GX1X200                  </v>
          </cell>
        </row>
        <row r="480">
          <cell r="A480">
            <v>300034074</v>
          </cell>
          <cell r="B480" t="str">
            <v xml:space="preserve">MAMUT FRESA INTENSA 13GX1X200           </v>
          </cell>
        </row>
        <row r="481">
          <cell r="A481">
            <v>300034075</v>
          </cell>
          <cell r="B481" t="str">
            <v xml:space="preserve">MAMUT FRESA INTENSA 13GX16X24 DISX24    </v>
          </cell>
        </row>
        <row r="482">
          <cell r="A482">
            <v>300034076</v>
          </cell>
          <cell r="B482" t="str">
            <v xml:space="preserve">MAMUT CHOCOLATE 13GX6X42 CAR            </v>
          </cell>
        </row>
        <row r="483">
          <cell r="A483">
            <v>300034077</v>
          </cell>
          <cell r="B483" t="str">
            <v xml:space="preserve">MAMUT CHOCOLATE 13GX1X200 CAR           </v>
          </cell>
        </row>
        <row r="484">
          <cell r="A484">
            <v>300034078</v>
          </cell>
          <cell r="B484" t="str">
            <v xml:space="preserve">MAMUT BLANCO 26GX1X100                  </v>
          </cell>
        </row>
        <row r="485">
          <cell r="A485">
            <v>300034079</v>
          </cell>
          <cell r="B485" t="str">
            <v xml:space="preserve">MAMUT BLANCO 26GX18X6                   </v>
          </cell>
        </row>
        <row r="486">
          <cell r="A486">
            <v>300034080</v>
          </cell>
          <cell r="B486" t="str">
            <v xml:space="preserve">MAMUT BLANCO 13GX8X24 BOLX24            </v>
          </cell>
        </row>
        <row r="487">
          <cell r="A487">
            <v>300034081</v>
          </cell>
          <cell r="B487" t="str">
            <v xml:space="preserve">MAMUT BLANCO 13GX6X42 DISX42            </v>
          </cell>
        </row>
        <row r="488">
          <cell r="A488">
            <v>300034082</v>
          </cell>
          <cell r="B488" t="str">
            <v xml:space="preserve">MAMUT BLANCO 13GX1X200                  </v>
          </cell>
        </row>
        <row r="489">
          <cell r="A489">
            <v>300034083</v>
          </cell>
          <cell r="B489" t="str">
            <v xml:space="preserve">MAMUT BANANA SPLIT 13GX1X200            </v>
          </cell>
        </row>
        <row r="490">
          <cell r="A490">
            <v>300034084</v>
          </cell>
          <cell r="B490" t="str">
            <v xml:space="preserve">MAMUT BANANA SPLIT 13GX16X24 DISX24     </v>
          </cell>
        </row>
        <row r="491">
          <cell r="A491">
            <v>300034085</v>
          </cell>
          <cell r="B491" t="str">
            <v xml:space="preserve">GAMESA LECHETA CHOCOLATE 8.3GX1X350     </v>
          </cell>
        </row>
        <row r="492">
          <cell r="A492">
            <v>300034086</v>
          </cell>
          <cell r="B492" t="str">
            <v xml:space="preserve">GAMESA CHIPSOS 7.5GX1X384               </v>
          </cell>
        </row>
        <row r="493">
          <cell r="A493">
            <v>300034087</v>
          </cell>
          <cell r="B493" t="str">
            <v xml:space="preserve">GALLETA SURTIDA  431.4GX6X1 GMS         </v>
          </cell>
        </row>
        <row r="494">
          <cell r="A494">
            <v>300034088</v>
          </cell>
          <cell r="B494" t="str">
            <v xml:space="preserve">GALLETA SURTIDA  381GX6X1 GMS           </v>
          </cell>
        </row>
        <row r="495">
          <cell r="A495">
            <v>300034089</v>
          </cell>
          <cell r="B495" t="str">
            <v xml:space="preserve">GALL NAVIDAD MANTEQUILA 250GX12X1 MEX   </v>
          </cell>
        </row>
        <row r="496">
          <cell r="A496">
            <v>300034090</v>
          </cell>
          <cell r="B496" t="str">
            <v xml:space="preserve">MANI MOTO NATURAL 40GX13X16 DISPX16     </v>
          </cell>
        </row>
        <row r="497">
          <cell r="A497">
            <v>300034091</v>
          </cell>
          <cell r="B497" t="str">
            <v xml:space="preserve">MANI MOTO NATURAL 210GX20X1             </v>
          </cell>
        </row>
        <row r="498">
          <cell r="A498">
            <v>300034092</v>
          </cell>
          <cell r="B498" t="str">
            <v xml:space="preserve">MANI MOTO LIMON 38GX14X9 DISPX9         </v>
          </cell>
        </row>
        <row r="499">
          <cell r="A499">
            <v>300034093</v>
          </cell>
          <cell r="B499" t="str">
            <v xml:space="preserve">MANI MOTO INFERNO FIREBALL 400GX10X1    </v>
          </cell>
        </row>
        <row r="500">
          <cell r="A500">
            <v>300034094</v>
          </cell>
          <cell r="B500" t="str">
            <v xml:space="preserve">MANI MOTO INFERNO FIREBALL 185GX20X1    </v>
          </cell>
        </row>
        <row r="501">
          <cell r="A501">
            <v>300034095</v>
          </cell>
          <cell r="B501" t="str">
            <v xml:space="preserve">MANI MOTO INFERNO FIREB 34GX14X9 DISPX9 </v>
          </cell>
        </row>
        <row r="502">
          <cell r="A502">
            <v>300034096</v>
          </cell>
          <cell r="B502" t="str">
            <v xml:space="preserve">JACKS MANI SAL 23GX26X6                 </v>
          </cell>
        </row>
        <row r="503">
          <cell r="A503">
            <v>300034097</v>
          </cell>
          <cell r="B503" t="str">
            <v xml:space="preserve">JACKS MANI SAL 23GX12X18 DISPX18        </v>
          </cell>
        </row>
        <row r="504">
          <cell r="A504">
            <v>300034099</v>
          </cell>
          <cell r="B504" t="str">
            <v xml:space="preserve">FRITOLAY SAL 50GX15X6                   </v>
          </cell>
        </row>
        <row r="505">
          <cell r="A505">
            <v>300034100</v>
          </cell>
          <cell r="B505" t="str">
            <v xml:space="preserve">FRITOLAY PASAS CHOCOLATE 200GX20X1      </v>
          </cell>
        </row>
        <row r="506">
          <cell r="A506">
            <v>300034101</v>
          </cell>
          <cell r="B506" t="str">
            <v>FRITOLAY PASAS CHOCOLA 30GX12X12 DISPX12</v>
          </cell>
        </row>
        <row r="507">
          <cell r="A507">
            <v>300034102</v>
          </cell>
          <cell r="B507" t="str">
            <v xml:space="preserve">FRITOLAY MIX UCHUVA 40GX1X120           </v>
          </cell>
        </row>
        <row r="508">
          <cell r="A508">
            <v>300034103</v>
          </cell>
          <cell r="B508" t="str">
            <v xml:space="preserve">FRITOLAY MIX UCHUVA 40GX10X12 DISPX12   </v>
          </cell>
        </row>
        <row r="509">
          <cell r="A509">
            <v>300034104</v>
          </cell>
          <cell r="B509" t="str">
            <v xml:space="preserve">FRITOLAY MIX UCHUVA 400GX10X1           </v>
          </cell>
        </row>
        <row r="510">
          <cell r="A510">
            <v>300034105</v>
          </cell>
          <cell r="B510" t="str">
            <v xml:space="preserve">FRITOLAY MIX MEZC NUEC 40GX1X120        </v>
          </cell>
        </row>
        <row r="511">
          <cell r="A511">
            <v>300034106</v>
          </cell>
          <cell r="B511" t="str">
            <v>FRITOLAY MIX MEZC NUEC 40GX10X12 DISPX12</v>
          </cell>
        </row>
        <row r="512">
          <cell r="A512">
            <v>300034107</v>
          </cell>
          <cell r="B512" t="str">
            <v xml:space="preserve">FRITOLAY MIX MEZC NUEC 400GX10X1        </v>
          </cell>
        </row>
        <row r="513">
          <cell r="A513">
            <v>300034108</v>
          </cell>
          <cell r="B513" t="str">
            <v xml:space="preserve">FRITOLAY MIX ARANDANOS 40GX1X120        </v>
          </cell>
        </row>
        <row r="514">
          <cell r="A514">
            <v>300034109</v>
          </cell>
          <cell r="B514" t="str">
            <v>FRITOLAY MIX ARANDANOS 40GX10X12 DISPX12</v>
          </cell>
        </row>
        <row r="515">
          <cell r="A515">
            <v>300034110</v>
          </cell>
          <cell r="B515" t="str">
            <v xml:space="preserve">DETODITO BBQ 3X1 BX12X45G+GTX2X45G      </v>
          </cell>
        </row>
        <row r="516">
          <cell r="A516">
            <v>300034111</v>
          </cell>
          <cell r="B516" t="str">
            <v xml:space="preserve">DETODITO BBQ 3X1 BX12X45G+GTX1X45G      </v>
          </cell>
        </row>
        <row r="517">
          <cell r="A517">
            <v>300034112</v>
          </cell>
          <cell r="B517" t="str">
            <v xml:space="preserve">DETODITO NATURAL 2X1 45G P12 LL14       </v>
          </cell>
        </row>
        <row r="518">
          <cell r="A518">
            <v>300034113</v>
          </cell>
          <cell r="B518" t="str">
            <v xml:space="preserve">DETODITO MIX 2X1 BX12X45G+GTX1X45G      </v>
          </cell>
        </row>
        <row r="519">
          <cell r="A519">
            <v>300034114</v>
          </cell>
          <cell r="B519" t="str">
            <v xml:space="preserve">QUAKER AVENA GRANOLA 4X1 BX6X30G P3 LL4 </v>
          </cell>
        </row>
        <row r="520">
          <cell r="A520">
            <v>300034115</v>
          </cell>
          <cell r="B520" t="str">
            <v xml:space="preserve">QUAKER AVENA PASAS4X1 BX6X30G P3 LL4    </v>
          </cell>
        </row>
        <row r="521">
          <cell r="A521">
            <v>300034116</v>
          </cell>
          <cell r="B521" t="str">
            <v>QUAKER AVENA MANZ CAN 4X1 BX6X30G P3 LL4</v>
          </cell>
        </row>
        <row r="522">
          <cell r="A522">
            <v>300034117</v>
          </cell>
          <cell r="B522" t="str">
            <v>QUAKER AVENA CHOCOLAT 4X1 BX6X34G P3 LL4</v>
          </cell>
        </row>
        <row r="523">
          <cell r="A523">
            <v>300034118</v>
          </cell>
          <cell r="B523" t="str">
            <v xml:space="preserve">QUAKER AVENA FRUT ROJ4X1 BX6X34G P3 LL4 </v>
          </cell>
        </row>
        <row r="524">
          <cell r="A524">
            <v>300034119</v>
          </cell>
          <cell r="B524" t="str">
            <v xml:space="preserve">CHOKIS CHISPAS 3X1 BX6X40G P4 LL5       </v>
          </cell>
        </row>
        <row r="525">
          <cell r="A525">
            <v>300034120</v>
          </cell>
          <cell r="B525" t="str">
            <v xml:space="preserve">MARGARITA POLLO 4X1 30G P12 LL13        </v>
          </cell>
        </row>
        <row r="526">
          <cell r="A526">
            <v>300034121</v>
          </cell>
          <cell r="B526" t="str">
            <v xml:space="preserve">MARGARITA LIMON 4X1 30G P12 LL13        </v>
          </cell>
        </row>
        <row r="527">
          <cell r="A527">
            <v>300034122</v>
          </cell>
          <cell r="B527" t="str">
            <v xml:space="preserve">MARGARITA NATURAL 4X1 30G P12 LL13      </v>
          </cell>
        </row>
        <row r="528">
          <cell r="A528">
            <v>300034123</v>
          </cell>
          <cell r="B528" t="str">
            <v xml:space="preserve">MARGARITA POLLO 4X1 30G P12 LL14        </v>
          </cell>
        </row>
        <row r="529">
          <cell r="A529">
            <v>300034124</v>
          </cell>
          <cell r="B529" t="str">
            <v xml:space="preserve">MARGARITA LIMON 4X1 30G P12 LL14        </v>
          </cell>
        </row>
        <row r="530">
          <cell r="A530">
            <v>300034125</v>
          </cell>
          <cell r="B530" t="str">
            <v xml:space="preserve">MARGARITA NATURAL 4X1 30G P12 LL14      </v>
          </cell>
        </row>
        <row r="531">
          <cell r="A531">
            <v>300034126</v>
          </cell>
          <cell r="B531" t="str">
            <v xml:space="preserve">FRITOLAY MANI SAL 15X1 50G P6 LL8       </v>
          </cell>
        </row>
        <row r="532">
          <cell r="A532">
            <v>300034127</v>
          </cell>
          <cell r="B532" t="str">
            <v xml:space="preserve">FRITOLAY MANI PASAS 15X1 50G P6 LL8     </v>
          </cell>
        </row>
        <row r="533">
          <cell r="A533">
            <v>300034128</v>
          </cell>
          <cell r="B533" t="str">
            <v xml:space="preserve">NATUCHIPS VERDE 5X1 40G P6 LL7          </v>
          </cell>
        </row>
        <row r="534">
          <cell r="A534">
            <v>300034129</v>
          </cell>
          <cell r="B534" t="str">
            <v xml:space="preserve">NATUCHIPS WAVY LIMON 26GX7X12 BX12 IMP  </v>
          </cell>
        </row>
        <row r="535">
          <cell r="A535">
            <v>300034130</v>
          </cell>
          <cell r="B535" t="str">
            <v xml:space="preserve">NATUCHIPS PLATANO VERDE 40GX5X12        </v>
          </cell>
        </row>
        <row r="536">
          <cell r="A536">
            <v>300034131</v>
          </cell>
          <cell r="B536" t="str">
            <v xml:space="preserve">NATUCHIPS PLATANO VERDE 40GX35X1        </v>
          </cell>
        </row>
        <row r="537">
          <cell r="A537">
            <v>300034132</v>
          </cell>
          <cell r="B537" t="str">
            <v xml:space="preserve">NATUCHIPS PLATANO VERDE 28GX96X1        </v>
          </cell>
        </row>
        <row r="538">
          <cell r="A538">
            <v>300034134</v>
          </cell>
          <cell r="B538" t="str">
            <v xml:space="preserve">NATUCHIPS PLATANO VERDE 135GX16X1       </v>
          </cell>
        </row>
        <row r="539">
          <cell r="A539">
            <v>300034135</v>
          </cell>
          <cell r="B539" t="str">
            <v>NATUCHIPS PLATANO VERD 28GX9X12 BX12 IMP</v>
          </cell>
        </row>
        <row r="540">
          <cell r="A540">
            <v>300034136</v>
          </cell>
          <cell r="B540" t="str">
            <v xml:space="preserve">NATUCHIPS PLATANO MADURO 40GX5X12       </v>
          </cell>
        </row>
        <row r="541">
          <cell r="A541">
            <v>300034137</v>
          </cell>
          <cell r="B541" t="str">
            <v xml:space="preserve">NATUCHIPS PLATANO MADURO 40GX35X1       </v>
          </cell>
        </row>
        <row r="542">
          <cell r="A542">
            <v>300034139</v>
          </cell>
          <cell r="B542" t="str">
            <v xml:space="preserve">NATUCHIPS PLATANO MADURO 28GX96X1       </v>
          </cell>
        </row>
        <row r="543">
          <cell r="A543">
            <v>300034140</v>
          </cell>
          <cell r="B543" t="str">
            <v xml:space="preserve">NATUCHIPS PLATANO MADURO 135GX16X1      </v>
          </cell>
        </row>
        <row r="544">
          <cell r="A544">
            <v>300034141</v>
          </cell>
          <cell r="B544" t="str">
            <v>NATUCHIPS PLATANO MADU 28GX9X12 BX12 IMP</v>
          </cell>
        </row>
        <row r="545">
          <cell r="A545">
            <v>300034143</v>
          </cell>
          <cell r="B545" t="str">
            <v xml:space="preserve">QUAKER MINI MANZANA CAN 40GX9X6         </v>
          </cell>
        </row>
        <row r="546">
          <cell r="A546">
            <v>300034144</v>
          </cell>
          <cell r="B546" t="str">
            <v xml:space="preserve">QUAKER MINI MANZANA CAN 40GX10X6 DISPX6 </v>
          </cell>
        </row>
        <row r="547">
          <cell r="A547">
            <v>300034145</v>
          </cell>
          <cell r="B547" t="str">
            <v xml:space="preserve">QUAKER MINI MANZ CAN 40GX1X72           </v>
          </cell>
        </row>
        <row r="548">
          <cell r="A548">
            <v>300034146</v>
          </cell>
          <cell r="B548" t="str">
            <v xml:space="preserve">QUAKER MINI FRUTOS ROJOS 40GX9X6        </v>
          </cell>
        </row>
        <row r="549">
          <cell r="A549">
            <v>300034147</v>
          </cell>
          <cell r="B549" t="str">
            <v>QUAKER MINI FRUTOS ROJOS 40GX10X6 DISPX6</v>
          </cell>
        </row>
        <row r="550">
          <cell r="A550">
            <v>300034148</v>
          </cell>
          <cell r="B550" t="str">
            <v xml:space="preserve">QUAKER AVENA CHOCOLATE 34GX1X100        </v>
          </cell>
        </row>
        <row r="551">
          <cell r="A551">
            <v>300034149</v>
          </cell>
          <cell r="B551" t="str">
            <v xml:space="preserve">QUAKER AVENA CHOCOLATE 34GX17X6         </v>
          </cell>
        </row>
        <row r="552">
          <cell r="A552">
            <v>300034150</v>
          </cell>
          <cell r="B552" t="str">
            <v xml:space="preserve">QUAKER AVENA CAPPUCCINO 32GX1X100       </v>
          </cell>
        </row>
        <row r="553">
          <cell r="A553">
            <v>300034151</v>
          </cell>
          <cell r="B553" t="str">
            <v xml:space="preserve">QUAKER AVENA CAPPUCCINO 32GX17X6        </v>
          </cell>
        </row>
        <row r="554">
          <cell r="A554">
            <v>300034152</v>
          </cell>
          <cell r="B554" t="str">
            <v xml:space="preserve">GALL QUAKER MINI MAN CA 40GX8X8 TIR CAR </v>
          </cell>
        </row>
        <row r="555">
          <cell r="A555">
            <v>300034153</v>
          </cell>
          <cell r="B555" t="str">
            <v xml:space="preserve">GALL QUAKER AVENA YOGURT 32GX17X6 PE    </v>
          </cell>
        </row>
        <row r="556">
          <cell r="A556">
            <v>300034154</v>
          </cell>
          <cell r="B556" t="str">
            <v xml:space="preserve">GALL QUAKER AVENA YOGURT  32GX1X100 PE  </v>
          </cell>
        </row>
        <row r="557">
          <cell r="A557">
            <v>300034155</v>
          </cell>
          <cell r="B557" t="str">
            <v xml:space="preserve">GALL QUAKER AVENA PASAS 30GX1X100 PE    </v>
          </cell>
        </row>
        <row r="558">
          <cell r="A558">
            <v>300034156</v>
          </cell>
          <cell r="B558" t="str">
            <v xml:space="preserve">GALL QUAKER AVENA PASAS 30GX1X100 EC SP </v>
          </cell>
        </row>
        <row r="559">
          <cell r="A559">
            <v>300034157</v>
          </cell>
          <cell r="B559" t="str">
            <v xml:space="preserve">GALL QUAKER AVENA PASAS 30GX1X100 EC CP </v>
          </cell>
        </row>
        <row r="560">
          <cell r="A560">
            <v>300034158</v>
          </cell>
          <cell r="B560" t="str">
            <v>GALL QUAKER AVENA PASAS 30GX1X100 ENF EC</v>
          </cell>
        </row>
        <row r="561">
          <cell r="A561">
            <v>300034159</v>
          </cell>
          <cell r="B561" t="str">
            <v xml:space="preserve">GALL QUAKER AVENA PASAS 30GX1X100 BO    </v>
          </cell>
        </row>
        <row r="562">
          <cell r="A562">
            <v>300034160</v>
          </cell>
          <cell r="B562" t="str">
            <v xml:space="preserve">GALL QUAKER AVENA PASAS 30GX17X6 PE     </v>
          </cell>
        </row>
        <row r="563">
          <cell r="A563">
            <v>300034161</v>
          </cell>
          <cell r="B563" t="str">
            <v xml:space="preserve">GALL QUAKER AVENA PASAS 30GX17X6 EC     </v>
          </cell>
        </row>
        <row r="564">
          <cell r="A564">
            <v>300034162</v>
          </cell>
          <cell r="B564" t="str">
            <v xml:space="preserve">GALL QUAKER AVENA PASAS 30GX17X6 BO     </v>
          </cell>
        </row>
        <row r="565">
          <cell r="A565">
            <v>300034163</v>
          </cell>
          <cell r="B565" t="str">
            <v xml:space="preserve">GALL QUAKER AVENA PASAS 28GX17X6 EC     </v>
          </cell>
        </row>
        <row r="566">
          <cell r="A566">
            <v>300034164</v>
          </cell>
          <cell r="B566" t="str">
            <v xml:space="preserve">GALL QUAKER AVENA PASAS 28GX1X100 SP EC </v>
          </cell>
        </row>
        <row r="567">
          <cell r="A567">
            <v>300034165</v>
          </cell>
          <cell r="B567" t="str">
            <v>GALL QUAKER AVENA PASAS 28GX1X100 ENF EC</v>
          </cell>
        </row>
        <row r="568">
          <cell r="A568">
            <v>300034166</v>
          </cell>
          <cell r="B568" t="str">
            <v xml:space="preserve">GALL QUAKER AVENA PASAS 28GX100X1 CP EC </v>
          </cell>
        </row>
        <row r="569">
          <cell r="A569">
            <v>300034167</v>
          </cell>
          <cell r="B569" t="str">
            <v xml:space="preserve">DORITOS DESAFIO ACIDO LIMON 37GX60X1    </v>
          </cell>
        </row>
        <row r="570">
          <cell r="A570">
            <v>300034168</v>
          </cell>
          <cell r="B570" t="str">
            <v xml:space="preserve">DORITOS DESAFIO ACIDO LIMON 37GX4X8     </v>
          </cell>
        </row>
        <row r="571">
          <cell r="A571">
            <v>300034169</v>
          </cell>
          <cell r="B571" t="str">
            <v xml:space="preserve">DORITOS DESAFIO ACIDO LIMON 37GX3X6 TIR </v>
          </cell>
        </row>
        <row r="572">
          <cell r="A572">
            <v>300034170</v>
          </cell>
          <cell r="B572" t="str">
            <v xml:space="preserve">DORITOS DESAFIO ACIDO LIMON 184GX15X1   </v>
          </cell>
        </row>
        <row r="573">
          <cell r="A573">
            <v>300034171</v>
          </cell>
          <cell r="B573" t="str">
            <v xml:space="preserve">DORITOS MEGAQUESO 30GX1X72              </v>
          </cell>
        </row>
        <row r="574">
          <cell r="A574">
            <v>300034172</v>
          </cell>
          <cell r="B574" t="str">
            <v xml:space="preserve">DORITOS INFERNO CHILE APOC 184GX15X1    </v>
          </cell>
        </row>
        <row r="575">
          <cell r="A575">
            <v>300034173</v>
          </cell>
          <cell r="B575" t="str">
            <v xml:space="preserve">CHOCLITOS LIMON 27GX1X96                </v>
          </cell>
        </row>
        <row r="576">
          <cell r="A576">
            <v>300034174</v>
          </cell>
          <cell r="B576" t="str">
            <v>SURTIDO 6X1 DTD NAT 155G + MGTA NAT 110G</v>
          </cell>
        </row>
        <row r="577">
          <cell r="A577">
            <v>300034175</v>
          </cell>
          <cell r="B577" t="str">
            <v xml:space="preserve">CHOKIS SNDW FRESA1X1 BX12X38G P9 LL10   </v>
          </cell>
        </row>
        <row r="578">
          <cell r="A578">
            <v>300034176</v>
          </cell>
          <cell r="B578" t="str">
            <v>CHOKIS SNDW VAINILL 1X1 BX12X38G P9 LL10</v>
          </cell>
        </row>
        <row r="579">
          <cell r="A579">
            <v>300034177</v>
          </cell>
          <cell r="B579" t="str">
            <v xml:space="preserve">CHEETOS TRISSITOS PICANTE 52GX36X1      </v>
          </cell>
        </row>
        <row r="580">
          <cell r="A580">
            <v>300034178</v>
          </cell>
          <cell r="B580" t="str">
            <v xml:space="preserve">CHEETOS MAXI NATURAL 58GX36X1           </v>
          </cell>
        </row>
        <row r="581">
          <cell r="A581">
            <v>300034179</v>
          </cell>
          <cell r="B581" t="str">
            <v xml:space="preserve">MAMUT FRESA INTENSA 13GX8X20 BOLX20     </v>
          </cell>
        </row>
        <row r="582">
          <cell r="A582">
            <v>300034180</v>
          </cell>
          <cell r="B582" t="str">
            <v xml:space="preserve">MAMUT AREQUIPE 13GX24X15 DISX15         </v>
          </cell>
        </row>
        <row r="583">
          <cell r="A583">
            <v>300034181</v>
          </cell>
          <cell r="B583" t="str">
            <v xml:space="preserve">MAMUT AREQUIPE 13GX1X200                </v>
          </cell>
        </row>
        <row r="584">
          <cell r="A584">
            <v>300034182</v>
          </cell>
          <cell r="B584" t="str">
            <v xml:space="preserve">QUAKER BARRAS MOUSSE CHOCOLATE 20GX20X6 </v>
          </cell>
        </row>
        <row r="585">
          <cell r="A585">
            <v>300034183</v>
          </cell>
          <cell r="B585" t="str">
            <v xml:space="preserve">QUAKER BARRAS LEMON PIE 20GX20X6        </v>
          </cell>
        </row>
        <row r="586">
          <cell r="A586">
            <v>300034184</v>
          </cell>
          <cell r="B586" t="str">
            <v xml:space="preserve">QUAKER BARRAS FRUTILLA 20GX20X6         </v>
          </cell>
        </row>
        <row r="587">
          <cell r="A587">
            <v>300034185</v>
          </cell>
          <cell r="B587" t="str">
            <v xml:space="preserve">QUAKER BARRAS CHOCOLATE 24GX20X6        </v>
          </cell>
        </row>
        <row r="588">
          <cell r="A588">
            <v>300034186</v>
          </cell>
          <cell r="B588" t="str">
            <v xml:space="preserve">FRITOLAY URUBAMBA NATURAL 125GX36X1     </v>
          </cell>
        </row>
        <row r="589">
          <cell r="A589">
            <v>300034187</v>
          </cell>
          <cell r="B589" t="str">
            <v xml:space="preserve">GALL MAMUT CHOCOLATE 13GX6X42 BO        </v>
          </cell>
        </row>
        <row r="590">
          <cell r="A590">
            <v>300034188</v>
          </cell>
          <cell r="B590" t="str">
            <v xml:space="preserve">GALL MAMUT CHOCOLATE 13GX1X200 BO       </v>
          </cell>
        </row>
        <row r="591">
          <cell r="A591">
            <v>300034189</v>
          </cell>
          <cell r="B591" t="str">
            <v xml:space="preserve">GALL MAMUT BLANCO 13GX6X42 BO           </v>
          </cell>
        </row>
        <row r="592">
          <cell r="A592">
            <v>300034190</v>
          </cell>
          <cell r="B592" t="str">
            <v xml:space="preserve">GALL MAMUT BLANCO 13GX1X200 BO          </v>
          </cell>
        </row>
        <row r="593">
          <cell r="A593">
            <v>300034191</v>
          </cell>
          <cell r="B593" t="str">
            <v xml:space="preserve">GALL CHOKIS CHISPAS 40GX1X80 PE         </v>
          </cell>
        </row>
        <row r="594">
          <cell r="A594">
            <v>300034192</v>
          </cell>
          <cell r="B594" t="str">
            <v xml:space="preserve">GALL CHOKIS CHISPAS 40GX13X6 PE         </v>
          </cell>
        </row>
        <row r="595">
          <cell r="A595">
            <v>300034193</v>
          </cell>
          <cell r="B595" t="str">
            <v xml:space="preserve">FLORENTINAS FRESA 9GX1X350              </v>
          </cell>
        </row>
        <row r="596">
          <cell r="A596">
            <v>300034194</v>
          </cell>
          <cell r="B596" t="str">
            <v xml:space="preserve">FLORENTINAS FRESA 27GX26X6              </v>
          </cell>
        </row>
        <row r="597">
          <cell r="A597">
            <v>300034195</v>
          </cell>
          <cell r="B597" t="str">
            <v xml:space="preserve">FLORENTINAS FRESA 27GX1X127             </v>
          </cell>
        </row>
        <row r="598">
          <cell r="A598">
            <v>300034196</v>
          </cell>
          <cell r="B598" t="str">
            <v xml:space="preserve">FLORENTINAS AREQUIPE 9GX1X350           </v>
          </cell>
        </row>
        <row r="599">
          <cell r="A599">
            <v>300034197</v>
          </cell>
          <cell r="B599" t="str">
            <v xml:space="preserve">FLORENTINAS AREQUIPE 27GX26X6           </v>
          </cell>
        </row>
        <row r="600">
          <cell r="A600">
            <v>300034198</v>
          </cell>
          <cell r="B600" t="str">
            <v xml:space="preserve">FLORENTINAS AREQUIPE 27GX1X127          </v>
          </cell>
        </row>
        <row r="601">
          <cell r="A601">
            <v>300034199</v>
          </cell>
          <cell r="B601" t="str">
            <v xml:space="preserve">CHOKIS SANDWICH VAINILLA 38GX10X12      </v>
          </cell>
        </row>
        <row r="602">
          <cell r="A602">
            <v>300034200</v>
          </cell>
          <cell r="B602" t="str">
            <v xml:space="preserve">CHOKIS SANDWICH FUDGE OSCURO 16GX1X200  </v>
          </cell>
        </row>
        <row r="603">
          <cell r="A603">
            <v>300034201</v>
          </cell>
          <cell r="B603" t="str">
            <v xml:space="preserve">CHOKIS SANDWICH FUDGE BLANCO 16GX1X200  </v>
          </cell>
        </row>
        <row r="604">
          <cell r="A604">
            <v>300034202</v>
          </cell>
          <cell r="B604" t="str">
            <v xml:space="preserve">CHOKIS SANDWICH FRESA 38GX10X12         </v>
          </cell>
        </row>
        <row r="605">
          <cell r="A605">
            <v>300034203</v>
          </cell>
          <cell r="B605" t="str">
            <v xml:space="preserve">CHOKIS SANDWICH CHOCOLATE 38GX10X12     </v>
          </cell>
        </row>
        <row r="606">
          <cell r="A606">
            <v>300034204</v>
          </cell>
          <cell r="B606" t="str">
            <v xml:space="preserve">CHOKIS SANDW FUDGE OSC 16GX9X16 BOLX16  </v>
          </cell>
        </row>
        <row r="607">
          <cell r="A607">
            <v>300034205</v>
          </cell>
          <cell r="B607" t="str">
            <v xml:space="preserve">CHOKIS SANDW FUDGE OSC 16GX15X20 DISX20 </v>
          </cell>
        </row>
        <row r="608">
          <cell r="A608">
            <v>300034206</v>
          </cell>
          <cell r="B608" t="str">
            <v xml:space="preserve">CHOKIS SANDW FUDGE BLAN 16GX9X16 BOLX16 </v>
          </cell>
        </row>
        <row r="609">
          <cell r="A609">
            <v>300034207</v>
          </cell>
          <cell r="B609" t="str">
            <v xml:space="preserve">FRITOLAY MIX ARANDANOS 400GX10X1        </v>
          </cell>
        </row>
        <row r="610">
          <cell r="A610">
            <v>300034208</v>
          </cell>
          <cell r="B610" t="str">
            <v xml:space="preserve">FRITOLAY MANI SAL 50GX6X18 DISPX18      </v>
          </cell>
        </row>
        <row r="611">
          <cell r="A611">
            <v>300034209</v>
          </cell>
          <cell r="B611" t="str">
            <v xml:space="preserve">FRITOLAY MANI SAL 50GX1X120             </v>
          </cell>
        </row>
        <row r="612">
          <cell r="A612">
            <v>300034210</v>
          </cell>
          <cell r="B612" t="str">
            <v xml:space="preserve">FRITOLAY MANI SAL 425GX10X1             </v>
          </cell>
        </row>
        <row r="613">
          <cell r="A613">
            <v>300034211</v>
          </cell>
          <cell r="B613" t="str">
            <v xml:space="preserve">FRITOLAY MANI SAL 200GX20X1             </v>
          </cell>
        </row>
        <row r="614">
          <cell r="A614">
            <v>300034212</v>
          </cell>
          <cell r="B614" t="str">
            <v xml:space="preserve">FRITOLAY MANI PASAS 50GX1X120           </v>
          </cell>
        </row>
        <row r="615">
          <cell r="A615">
            <v>300034213</v>
          </cell>
          <cell r="B615" t="str">
            <v xml:space="preserve">FRITOLAY MANI PASAS 50GX15X6            </v>
          </cell>
        </row>
        <row r="616">
          <cell r="A616">
            <v>300034214</v>
          </cell>
          <cell r="B616" t="str">
            <v xml:space="preserve">FRITOLAY MANI PASAS 50GX10X12 DISPX12   </v>
          </cell>
        </row>
        <row r="617">
          <cell r="A617">
            <v>300034215</v>
          </cell>
          <cell r="B617" t="str">
            <v xml:space="preserve">FRITOLAY MANI PASAS 425GX10X1           </v>
          </cell>
        </row>
        <row r="618">
          <cell r="A618">
            <v>300034216</v>
          </cell>
          <cell r="B618" t="str">
            <v xml:space="preserve">FRITOLAY MANI PASAS 200GX20X1           </v>
          </cell>
        </row>
        <row r="619">
          <cell r="A619">
            <v>300034217</v>
          </cell>
          <cell r="B619" t="str">
            <v xml:space="preserve">FRITOLAY MANI CHOCOLATE 200GX20X1       </v>
          </cell>
        </row>
        <row r="620">
          <cell r="A620">
            <v>300034218</v>
          </cell>
          <cell r="B620" t="str">
            <v xml:space="preserve">FRITOLAY MANI CHOCOLA 30GX12X12 DISPX12 </v>
          </cell>
        </row>
        <row r="621">
          <cell r="A621">
            <v>300034219</v>
          </cell>
          <cell r="B621" t="str">
            <v xml:space="preserve">FRITOLAY DELUXE COCO 40GX10X12 DISPX12  </v>
          </cell>
        </row>
        <row r="622">
          <cell r="A622">
            <v>300034220</v>
          </cell>
          <cell r="B622" t="str">
            <v xml:space="preserve">FRITOLAY DELUXE COCO 200GX20X1          </v>
          </cell>
        </row>
        <row r="623">
          <cell r="A623">
            <v>300034221</v>
          </cell>
          <cell r="B623" t="str">
            <v xml:space="preserve">FRITOLAY DELUXE BLUEBERRY 200GX20X1     </v>
          </cell>
        </row>
        <row r="624">
          <cell r="A624">
            <v>300034222</v>
          </cell>
          <cell r="B624" t="str">
            <v>FRITOLAY DELUXE BBERRY 40GX10X12 DISPX12</v>
          </cell>
        </row>
        <row r="625">
          <cell r="A625">
            <v>300034223</v>
          </cell>
          <cell r="B625" t="str">
            <v xml:space="preserve">MARGARITA POLLO 4X1 BX12X25G+GTX2X25G   </v>
          </cell>
        </row>
        <row r="626">
          <cell r="A626">
            <v>300034224</v>
          </cell>
          <cell r="B626" t="str">
            <v xml:space="preserve">MARGARITA LIMON 4X1 BX12X25G+GTX2X25G   </v>
          </cell>
        </row>
        <row r="627">
          <cell r="A627">
            <v>300034225</v>
          </cell>
          <cell r="B627" t="str">
            <v>DETODITO NATURAL 2X1 BX12X45G+GTX2X45GMY</v>
          </cell>
        </row>
        <row r="628">
          <cell r="A628">
            <v>300034226</v>
          </cell>
          <cell r="B628" t="str">
            <v xml:space="preserve">DETODITO MIX 2X1 BX12X45G+GTX2X45G      </v>
          </cell>
        </row>
        <row r="629">
          <cell r="A629">
            <v>300034227</v>
          </cell>
          <cell r="B629" t="str">
            <v xml:space="preserve">NATUCHIPS MADURO 5X1 40G P6 LL7         </v>
          </cell>
        </row>
        <row r="630">
          <cell r="A630">
            <v>300034228</v>
          </cell>
          <cell r="B630" t="str">
            <v>CHEETOS CRISPETA CARAMELO 6X1 72G P6 LL8</v>
          </cell>
        </row>
        <row r="631">
          <cell r="A631">
            <v>300034229</v>
          </cell>
          <cell r="B631" t="str">
            <v>CHEETOS CRISPETA QUES BLA 6X1 25G P6 LL8</v>
          </cell>
        </row>
        <row r="632">
          <cell r="A632">
            <v>300034230</v>
          </cell>
          <cell r="B632" t="str">
            <v>CHEETOS CRISPETA QUES CHE 6X1 24G P6 LL8</v>
          </cell>
        </row>
        <row r="633">
          <cell r="A633">
            <v>300034231</v>
          </cell>
          <cell r="B633" t="str">
            <v>CHEETOS CRISPETA CARAMEL 3X1 72G P12LL13</v>
          </cell>
        </row>
        <row r="634">
          <cell r="A634">
            <v>300034232</v>
          </cell>
          <cell r="B634" t="str">
            <v>CHEETOS CRISPETA QUES BL 3X1 25G P12LL13</v>
          </cell>
        </row>
        <row r="635">
          <cell r="A635">
            <v>300034233</v>
          </cell>
          <cell r="B635" t="str">
            <v>CHEETOS CRISPETA QUES CH 3X1 24G P12LL13</v>
          </cell>
        </row>
        <row r="636">
          <cell r="A636">
            <v>300034234</v>
          </cell>
          <cell r="B636" t="str">
            <v xml:space="preserve">MANI MOTO NATURAL 8X1 40G P16 LL18      </v>
          </cell>
        </row>
        <row r="637">
          <cell r="A637">
            <v>300034235</v>
          </cell>
          <cell r="B637" t="str">
            <v xml:space="preserve">MANI MOTO NATURAL 16X1 40G P13 LL14     </v>
          </cell>
        </row>
        <row r="638">
          <cell r="A638">
            <v>300034236</v>
          </cell>
          <cell r="B638" t="str">
            <v>CHEETOS CRISPETA CARAMEL 2X1 72G P18LL21</v>
          </cell>
        </row>
        <row r="639">
          <cell r="A639">
            <v>300034237</v>
          </cell>
          <cell r="B639" t="str">
            <v>CHEETOS CRISPETA QUES CH 2X1 24G P18LL21</v>
          </cell>
        </row>
        <row r="640">
          <cell r="A640">
            <v>300034238</v>
          </cell>
          <cell r="B640" t="str">
            <v>CHEETOS CRISPETA QUES BL 2X1 25G P18LL21</v>
          </cell>
        </row>
        <row r="641">
          <cell r="A641">
            <v>300034239</v>
          </cell>
          <cell r="B641" t="str">
            <v>CHEETOS CRISPETA CARAMEL 2X1 72G P18LL24</v>
          </cell>
        </row>
        <row r="642">
          <cell r="A642">
            <v>300034240</v>
          </cell>
          <cell r="B642" t="str">
            <v>CHEETOS CRISPETA QUES CH 2X1 24G P18LL24</v>
          </cell>
        </row>
        <row r="643">
          <cell r="A643">
            <v>300034241</v>
          </cell>
          <cell r="B643" t="str">
            <v>CHEETOS CRISPETA QUES BL 2X1 25G P18LL24</v>
          </cell>
        </row>
        <row r="644">
          <cell r="A644">
            <v>300034242</v>
          </cell>
          <cell r="B644" t="str">
            <v>SURT 2X1 MGTNA30GDTDNAT45G X12+GT5DMQ38G</v>
          </cell>
        </row>
        <row r="645">
          <cell r="A645">
            <v>300034243</v>
          </cell>
          <cell r="B645" t="str">
            <v>FRITOLAY MANI CHOCOLATE 6X1 30G P12 LL14</v>
          </cell>
        </row>
        <row r="646">
          <cell r="A646">
            <v>300034244</v>
          </cell>
          <cell r="B646" t="str">
            <v>FRITOLAY PASAS CHOCOLAT 6X1 30G P12 LL14</v>
          </cell>
        </row>
        <row r="647">
          <cell r="A647">
            <v>300034245</v>
          </cell>
          <cell r="B647" t="str">
            <v xml:space="preserve">MARGARITA POLLO 2X1 110G P4 LL5         </v>
          </cell>
        </row>
        <row r="648">
          <cell r="A648">
            <v>300034246</v>
          </cell>
          <cell r="B648" t="str">
            <v xml:space="preserve">QUAKER MINI FRUT ROJ 40GX1X72           </v>
          </cell>
        </row>
        <row r="649">
          <cell r="A649">
            <v>300034247</v>
          </cell>
          <cell r="B649" t="str">
            <v xml:space="preserve">QUAKER CRACKERS MIEL 24GX24X9           </v>
          </cell>
        </row>
        <row r="650">
          <cell r="A650">
            <v>300034248</v>
          </cell>
          <cell r="B650" t="str">
            <v xml:space="preserve">QUAKER CRACKERS FRUTAS CEREAL 24GX24X9  </v>
          </cell>
        </row>
        <row r="651">
          <cell r="A651">
            <v>300034249</v>
          </cell>
          <cell r="B651" t="str">
            <v xml:space="preserve">QUAKER CRACKERS 7 GRANOS 22.5GX24X9     </v>
          </cell>
        </row>
        <row r="652">
          <cell r="A652">
            <v>300034250</v>
          </cell>
          <cell r="B652" t="str">
            <v>QUAKER CRACKERS 7 GRANOS 384GX24X1 TACO</v>
          </cell>
        </row>
        <row r="653">
          <cell r="A653">
            <v>300034251</v>
          </cell>
          <cell r="B653" t="str">
            <v xml:space="preserve">QUAKER AVENA YOGURT GRIEGO 32GX1X100    </v>
          </cell>
        </row>
        <row r="654">
          <cell r="A654">
            <v>300034252</v>
          </cell>
          <cell r="B654" t="str">
            <v xml:space="preserve">QUAKER AVENA YOGURT GRIEGO 32GX17X6     </v>
          </cell>
        </row>
        <row r="655">
          <cell r="A655">
            <v>300034253</v>
          </cell>
          <cell r="B655" t="str">
            <v xml:space="preserve">QUAKER AVENA SURTIDO 608GX6X1 DISPX20   </v>
          </cell>
        </row>
        <row r="656">
          <cell r="A656">
            <v>300034254</v>
          </cell>
          <cell r="B656" t="str">
            <v xml:space="preserve">QUAKER AVENA SURTIDO 368GX16X1 DISPX12  </v>
          </cell>
        </row>
        <row r="657">
          <cell r="A657">
            <v>300034255</v>
          </cell>
          <cell r="B657" t="str">
            <v xml:space="preserve">QUAKER AVENA SURTIDO 376GX8X1 BX12      </v>
          </cell>
        </row>
        <row r="658">
          <cell r="A658">
            <v>300034256</v>
          </cell>
          <cell r="B658" t="str">
            <v xml:space="preserve">QUAKER AVENA PASAS 30GX1X100            </v>
          </cell>
        </row>
        <row r="659">
          <cell r="A659">
            <v>300034257</v>
          </cell>
          <cell r="B659" t="str">
            <v xml:space="preserve">QUAKER AVENA PASAS 30GX17X6             </v>
          </cell>
        </row>
        <row r="660">
          <cell r="A660">
            <v>300034258</v>
          </cell>
          <cell r="B660" t="str">
            <v xml:space="preserve">QUAKER AVENA MANZANA CAN 30GX1X100      </v>
          </cell>
        </row>
        <row r="661">
          <cell r="A661">
            <v>300034259</v>
          </cell>
          <cell r="B661" t="str">
            <v xml:space="preserve">QUAKER AVENA MANZANA CAN 30GX17X6       </v>
          </cell>
        </row>
        <row r="662">
          <cell r="A662">
            <v>300034260</v>
          </cell>
          <cell r="B662" t="str">
            <v xml:space="preserve">QUAKER AVENA GRANOLA 30GX8X12           </v>
          </cell>
        </row>
        <row r="663">
          <cell r="A663">
            <v>300034261</v>
          </cell>
          <cell r="B663" t="str">
            <v xml:space="preserve">QUAKER AVENA GRANOLA 30GX1X100          </v>
          </cell>
        </row>
        <row r="664">
          <cell r="A664">
            <v>300034262</v>
          </cell>
          <cell r="B664" t="str">
            <v xml:space="preserve">QUAKER AVENA GRANOLA 30GX17X6           </v>
          </cell>
        </row>
        <row r="665">
          <cell r="A665">
            <v>300034263</v>
          </cell>
          <cell r="B665" t="str">
            <v xml:space="preserve">QUAKER AVENA FRUTOS ROJOS 34GX8X12      </v>
          </cell>
        </row>
        <row r="666">
          <cell r="A666">
            <v>300034264</v>
          </cell>
          <cell r="B666" t="str">
            <v xml:space="preserve">QUAKER AVENA FRUTOS ROJOS 34GX1X100     </v>
          </cell>
        </row>
        <row r="667">
          <cell r="A667">
            <v>300034265</v>
          </cell>
          <cell r="B667" t="str">
            <v xml:space="preserve">QUAKER AVENA FRUTOS ROJOS 34GX17X6      </v>
          </cell>
        </row>
        <row r="668">
          <cell r="A668">
            <v>300034266</v>
          </cell>
          <cell r="B668" t="str">
            <v xml:space="preserve">GALL QUAKER AVENA MANZ CAN 30GX1X100 PE </v>
          </cell>
        </row>
        <row r="669">
          <cell r="A669">
            <v>300034267</v>
          </cell>
          <cell r="B669" t="str">
            <v>GALL QUAKER AVENA MA CA 30GX1X100 ENF EC</v>
          </cell>
        </row>
        <row r="670">
          <cell r="A670">
            <v>300034268</v>
          </cell>
          <cell r="B670" t="str">
            <v xml:space="preserve">GALL QUAKER AVENA MANZ CAN 30GX1X100 BO </v>
          </cell>
        </row>
        <row r="671">
          <cell r="A671">
            <v>300034269</v>
          </cell>
          <cell r="B671" t="str">
            <v xml:space="preserve">GALL QUAKER AVENA MANZ CAN 30GX17X6 PE  </v>
          </cell>
        </row>
        <row r="672">
          <cell r="A672">
            <v>300034270</v>
          </cell>
          <cell r="B672" t="str">
            <v xml:space="preserve">GALL QUAKER AVENA MANZ CAN 30GX17X6 EC  </v>
          </cell>
        </row>
        <row r="673">
          <cell r="A673">
            <v>300034271</v>
          </cell>
          <cell r="B673" t="str">
            <v xml:space="preserve">GALL QUAKER AVENA MANZ CAN 30GX17X6 BO  </v>
          </cell>
        </row>
        <row r="674">
          <cell r="A674">
            <v>300034272</v>
          </cell>
          <cell r="B674" t="str">
            <v>GALL QUAKER AVENA MAN CA 30GX1X100 EC SP</v>
          </cell>
        </row>
        <row r="675">
          <cell r="A675">
            <v>300034273</v>
          </cell>
          <cell r="B675" t="str">
            <v>GALL QUAKER AVENA MAN CA 30GX1X100 EC CP</v>
          </cell>
        </row>
        <row r="676">
          <cell r="A676">
            <v>300034274</v>
          </cell>
          <cell r="B676" t="str">
            <v xml:space="preserve">GALL QUAKER AVENA MAN CA 28GX17X6 EC    </v>
          </cell>
        </row>
        <row r="677">
          <cell r="A677">
            <v>300034275</v>
          </cell>
          <cell r="B677" t="str">
            <v>GALL QUAKER AVENA MAN CA 28GX1X100 SP EC</v>
          </cell>
        </row>
        <row r="678">
          <cell r="A678">
            <v>300034276</v>
          </cell>
          <cell r="B678" t="str">
            <v>GALL QUAKER AVENA MAN CA 28GX1X100 CP EC</v>
          </cell>
        </row>
        <row r="679">
          <cell r="A679">
            <v>300034277</v>
          </cell>
          <cell r="B679" t="str">
            <v>GALL QUAKER AVENA MAN C 28GX1X100 ENF EC</v>
          </cell>
        </row>
        <row r="680">
          <cell r="A680">
            <v>300034278</v>
          </cell>
          <cell r="B680" t="str">
            <v xml:space="preserve">GALL QUAKER AVENA GRANOLA 30GX1X100 PE  </v>
          </cell>
        </row>
        <row r="681">
          <cell r="A681">
            <v>300034279</v>
          </cell>
          <cell r="B681" t="str">
            <v>GALL QUAKER AVENA GRANO 30GX1X100 ENF EC</v>
          </cell>
        </row>
        <row r="682">
          <cell r="A682">
            <v>300034280</v>
          </cell>
          <cell r="B682" t="str">
            <v xml:space="preserve">GALL QUAKER AVENA GRANOLA 30GX1X100 BO  </v>
          </cell>
        </row>
        <row r="683">
          <cell r="A683">
            <v>300034281</v>
          </cell>
          <cell r="B683" t="str">
            <v xml:space="preserve">GALL QUAKER AVENA GRANOLA 30GX17X6 PE   </v>
          </cell>
        </row>
        <row r="684">
          <cell r="A684">
            <v>300034282</v>
          </cell>
          <cell r="B684" t="str">
            <v xml:space="preserve">GALL QUAKER AVENA GRANOLA 30GX17X6 EC   </v>
          </cell>
        </row>
        <row r="685">
          <cell r="A685">
            <v>300034283</v>
          </cell>
          <cell r="B685" t="str">
            <v xml:space="preserve">GALL QUAKER AVENA GRANOLA 30GX17X6 BO   </v>
          </cell>
        </row>
        <row r="686">
          <cell r="A686">
            <v>300034284</v>
          </cell>
          <cell r="B686" t="str">
            <v xml:space="preserve">GALL QUAKER AVENA GRANOLA 28GX17X6 EC   </v>
          </cell>
        </row>
        <row r="687">
          <cell r="A687">
            <v>300034285</v>
          </cell>
          <cell r="B687" t="str">
            <v xml:space="preserve">DETODITO 4 ASADO CRIOLLO 58GX25X1 BOL   </v>
          </cell>
        </row>
        <row r="688">
          <cell r="A688">
            <v>300034286</v>
          </cell>
          <cell r="B688" t="str">
            <v xml:space="preserve">DETODITO NATURAL 48GX30X1               </v>
          </cell>
        </row>
        <row r="689">
          <cell r="A689">
            <v>300034287</v>
          </cell>
          <cell r="B689" t="str">
            <v xml:space="preserve">DETODITO MIX 48GX30X1                   </v>
          </cell>
        </row>
        <row r="690">
          <cell r="A690">
            <v>300034288</v>
          </cell>
          <cell r="B690" t="str">
            <v xml:space="preserve">DETODITO MIX 40GX5X12                   </v>
          </cell>
        </row>
        <row r="691">
          <cell r="A691">
            <v>300034289</v>
          </cell>
          <cell r="B691" t="str">
            <v xml:space="preserve">DETODITO EXTRACONT NATURAL 184GX9X1     </v>
          </cell>
        </row>
        <row r="692">
          <cell r="A692">
            <v>300034290</v>
          </cell>
          <cell r="B692" t="str">
            <v xml:space="preserve">DETODITO EXTRACONT MIX 184GX9X1         </v>
          </cell>
        </row>
        <row r="693">
          <cell r="A693">
            <v>300034291</v>
          </cell>
          <cell r="B693" t="str">
            <v xml:space="preserve">DETODITO EXTRACONT BBQ 184GX9X1         </v>
          </cell>
        </row>
        <row r="694">
          <cell r="A694">
            <v>300034292</v>
          </cell>
          <cell r="B694" t="str">
            <v xml:space="preserve">DETODITO BBQ 48GX30X1                   </v>
          </cell>
        </row>
        <row r="695">
          <cell r="A695">
            <v>300034293</v>
          </cell>
          <cell r="B695" t="str">
            <v xml:space="preserve">DETODITO BBQ 40GX5X12                   </v>
          </cell>
        </row>
        <row r="696">
          <cell r="A696">
            <v>300034294</v>
          </cell>
          <cell r="B696" t="str">
            <v xml:space="preserve">DETODITO 4 POLLO 58GX27X1 BOL           </v>
          </cell>
        </row>
        <row r="697">
          <cell r="A697">
            <v>300034295</v>
          </cell>
          <cell r="B697" t="str">
            <v xml:space="preserve">DETODITO 4 LIMON 58GX27X1 BOL           </v>
          </cell>
        </row>
        <row r="698">
          <cell r="A698">
            <v>300034296</v>
          </cell>
          <cell r="B698" t="str">
            <v xml:space="preserve">DETODITO 4 CRIOLLO BBQ 58GX25X1 BOL     </v>
          </cell>
        </row>
        <row r="699">
          <cell r="A699">
            <v>300034297</v>
          </cell>
          <cell r="B699" t="str">
            <v xml:space="preserve">DETODITO 4 CRIOLLO 58GX25X1 BOL         </v>
          </cell>
        </row>
        <row r="700">
          <cell r="A700">
            <v>300034298</v>
          </cell>
          <cell r="B700" t="str">
            <v xml:space="preserve">MANI MOTO NATURAL 30GX6X16 DISPX16      </v>
          </cell>
        </row>
        <row r="701">
          <cell r="A701">
            <v>300034299</v>
          </cell>
          <cell r="B701" t="str">
            <v xml:space="preserve">JACKS MANI SAL 25GX26X6 BX6             </v>
          </cell>
        </row>
        <row r="702">
          <cell r="A702">
            <v>300034300</v>
          </cell>
          <cell r="B702" t="str">
            <v xml:space="preserve">JACKS MANI SAL 25GX12X18 DISPX18        </v>
          </cell>
        </row>
        <row r="703">
          <cell r="A703">
            <v>300034301</v>
          </cell>
          <cell r="B703" t="str">
            <v xml:space="preserve">MARGARITA SUERO COST 31GX30X1 CP BOL    </v>
          </cell>
        </row>
        <row r="704">
          <cell r="A704">
            <v>300034302</v>
          </cell>
          <cell r="B704" t="str">
            <v xml:space="preserve">MARGARITA SUERO COST 31GX1X30           </v>
          </cell>
        </row>
        <row r="705">
          <cell r="A705">
            <v>300034303</v>
          </cell>
          <cell r="B705" t="str">
            <v>MARGARITA REC CLAS SALVIN 38GX5X6 BX6IMP</v>
          </cell>
        </row>
        <row r="706">
          <cell r="A706">
            <v>300034304</v>
          </cell>
          <cell r="B706" t="str">
            <v xml:space="preserve">MARGARITA REC CLAS SAL VIN 38GX30X1 BOL </v>
          </cell>
        </row>
        <row r="707">
          <cell r="A707">
            <v>300034510</v>
          </cell>
          <cell r="B707" t="str">
            <v>MAIZ FRITO URUBAMBA 38GX48 IMP</v>
          </cell>
        </row>
        <row r="708">
          <cell r="A708">
            <v>300034957</v>
          </cell>
          <cell r="B708" t="str">
            <v>DETODITO MAÑANITA 40GX4X6 DISP</v>
          </cell>
        </row>
        <row r="709">
          <cell r="A709">
            <v>300035502</v>
          </cell>
          <cell r="B709" t="str">
            <v>DETODITO BBQ 40GX30X1 CP</v>
          </cell>
        </row>
        <row r="710">
          <cell r="A710">
            <v>300035503</v>
          </cell>
          <cell r="B710" t="str">
            <v>DETODITO MIX 40GX30X1 CP</v>
          </cell>
        </row>
        <row r="711">
          <cell r="A711">
            <v>300035504</v>
          </cell>
          <cell r="B711" t="str">
            <v>DETODITO NATURAL 40GX30X1 CP</v>
          </cell>
        </row>
        <row r="712">
          <cell r="A712">
            <v>300035975</v>
          </cell>
          <cell r="B712" t="str">
            <v>MARGARITA LIMON 46GX30X1</v>
          </cell>
        </row>
        <row r="713">
          <cell r="A713">
            <v>300035977</v>
          </cell>
          <cell r="B713" t="str">
            <v>MARGARITA NATURAL 46GX30X1</v>
          </cell>
        </row>
        <row r="714">
          <cell r="A714">
            <v>300035978</v>
          </cell>
          <cell r="B714" t="str">
            <v>MARGARITA ONDULADA MAYONESA 48GX30X1</v>
          </cell>
        </row>
        <row r="715">
          <cell r="A715">
            <v>300035979</v>
          </cell>
          <cell r="B715" t="str">
            <v>MARGARITA ONDULADA TOMATE 48GX30X1</v>
          </cell>
        </row>
        <row r="716">
          <cell r="A716">
            <v>300036031</v>
          </cell>
          <cell r="B716" t="str">
            <v>NATUCHIPS PLATANO VERDE 28GX96X1 CP</v>
          </cell>
        </row>
        <row r="717">
          <cell r="A717">
            <v>300036032</v>
          </cell>
          <cell r="B717" t="str">
            <v>NATUCHIPS PLATANO MADURO 28GX96X1 CP</v>
          </cell>
        </row>
        <row r="718">
          <cell r="A718">
            <v>300036040</v>
          </cell>
          <cell r="B718" t="str">
            <v>MARGARITA BBQ 25GX60X1 CP BOL</v>
          </cell>
        </row>
        <row r="719">
          <cell r="A719">
            <v>300036041</v>
          </cell>
          <cell r="B719" t="str">
            <v>MARGARITA CITRUS MAND 168GX3X1 TIRX6X28G</v>
          </cell>
        </row>
        <row r="720">
          <cell r="A720">
            <v>300036042</v>
          </cell>
          <cell r="B720" t="str">
            <v>MARGARITA CITRUS MARA 168GX3X1 TIRX6X28G</v>
          </cell>
        </row>
        <row r="721">
          <cell r="A721">
            <v>300036043</v>
          </cell>
          <cell r="B721" t="str">
            <v>MARGARITA LIMON 25GX60X1 CP BOL</v>
          </cell>
        </row>
        <row r="722">
          <cell r="A722">
            <v>300036050</v>
          </cell>
          <cell r="B722" t="str">
            <v>MARGARITA POLLO 25GX60X1 CP BOL</v>
          </cell>
        </row>
        <row r="723">
          <cell r="A723">
            <v>300036051</v>
          </cell>
          <cell r="B723" t="str">
            <v>MARGARITA POLLO 46GX30X1</v>
          </cell>
        </row>
        <row r="724">
          <cell r="A724">
            <v>300036109</v>
          </cell>
          <cell r="B724" t="str">
            <v>MARGARITA LIMON 46GX7X6</v>
          </cell>
        </row>
        <row r="725">
          <cell r="A725">
            <v>300036220</v>
          </cell>
          <cell r="B725" t="str">
            <v>MARGARITA NATURAL 46GX7X6</v>
          </cell>
        </row>
        <row r="726">
          <cell r="A726">
            <v>300036221</v>
          </cell>
          <cell r="B726" t="str">
            <v>MARGARITA ONDULADA QUES TOC 110GX14X1</v>
          </cell>
        </row>
        <row r="727">
          <cell r="A727">
            <v>300036222</v>
          </cell>
          <cell r="B727" t="str">
            <v>MARGARITA ONDULADA QUES TOC 30GX30X1</v>
          </cell>
        </row>
        <row r="728">
          <cell r="A728">
            <v>300036223</v>
          </cell>
          <cell r="B728" t="str">
            <v>MARGARITA ONDULADA QUES TOC 30GX3X6 TIRA</v>
          </cell>
        </row>
        <row r="729">
          <cell r="A729">
            <v>300036224</v>
          </cell>
          <cell r="B729" t="str">
            <v>MARGARITA PIC ACID 110GX14X1</v>
          </cell>
        </row>
        <row r="730">
          <cell r="A730">
            <v>300036242</v>
          </cell>
          <cell r="B730" t="str">
            <v>MARGARITA BBQ 46GX30X1</v>
          </cell>
        </row>
        <row r="731">
          <cell r="A731">
            <v>300036290</v>
          </cell>
          <cell r="B731" t="str">
            <v>MARGARITA PIC ACID 28GX30X1</v>
          </cell>
        </row>
        <row r="732">
          <cell r="A732">
            <v>300036291</v>
          </cell>
          <cell r="B732" t="str">
            <v>MARGARITA PIC ACID 28GX3X6 TIRA</v>
          </cell>
        </row>
        <row r="733">
          <cell r="A733">
            <v>300036292</v>
          </cell>
          <cell r="B733" t="str">
            <v>MARGARITA POLLO 46GX7X6</v>
          </cell>
        </row>
        <row r="734">
          <cell r="A734">
            <v>300036311</v>
          </cell>
          <cell r="B734" t="str">
            <v>MARGARITA LIMON 110GX14X1</v>
          </cell>
        </row>
        <row r="735">
          <cell r="A735">
            <v>300036312</v>
          </cell>
          <cell r="B735" t="str">
            <v>MARGARITA NATURAL 110GX14X1</v>
          </cell>
        </row>
        <row r="736">
          <cell r="A736">
            <v>300036313</v>
          </cell>
          <cell r="B736" t="str">
            <v>MARGARITA POLLO 110GX14X1</v>
          </cell>
        </row>
        <row r="737">
          <cell r="A737">
            <v>300036465</v>
          </cell>
          <cell r="B737" t="str">
            <v>MARGARITA BBQ 46GX7X6</v>
          </cell>
        </row>
        <row r="738">
          <cell r="A738">
            <v>300036466</v>
          </cell>
          <cell r="B738" t="str">
            <v>MARGARITA ONDULADA MAYONESA 48GX7X6</v>
          </cell>
        </row>
        <row r="739">
          <cell r="A739">
            <v>300036467</v>
          </cell>
          <cell r="B739" t="str">
            <v>MARGARITA ONDULADA TOMATE 48GX7X6</v>
          </cell>
        </row>
        <row r="740">
          <cell r="A740">
            <v>300036503</v>
          </cell>
          <cell r="B740" t="str">
            <v>MARGARITA SMILES SURT 274GX4X10 BX10 IMP</v>
          </cell>
        </row>
        <row r="741">
          <cell r="A741">
            <v>300036504</v>
          </cell>
          <cell r="B741" t="str">
            <v>MARGARITA SMILES SURTIDO 174GX3X6 TIRA</v>
          </cell>
        </row>
        <row r="742">
          <cell r="A742">
            <v>300036631</v>
          </cell>
          <cell r="B742" t="str">
            <v>BAR NUE QUA COCO 40GRX5X14</v>
          </cell>
        </row>
        <row r="743">
          <cell r="A743">
            <v>300036632</v>
          </cell>
          <cell r="B743" t="str">
            <v>BAR NUE QUA FRUT 40GRX5X14</v>
          </cell>
        </row>
        <row r="744">
          <cell r="A744">
            <v>300036633</v>
          </cell>
          <cell r="B744" t="str">
            <v>BAR NUE QUA CHOCOL 40GRX5X14</v>
          </cell>
        </row>
        <row r="745">
          <cell r="A745">
            <v>300036697</v>
          </cell>
          <cell r="B745" t="str">
            <v>CHEESE TRIS QUESO 50GX35X1</v>
          </cell>
        </row>
        <row r="746">
          <cell r="A746">
            <v>300036698</v>
          </cell>
          <cell r="B746" t="str">
            <v>CHEESE TRIS QUESO 50GX6X12</v>
          </cell>
        </row>
        <row r="747">
          <cell r="A747">
            <v>300036699</v>
          </cell>
          <cell r="B747" t="str">
            <v>CHEESE TRIS QUESO 50GX9X6 IMP</v>
          </cell>
        </row>
        <row r="748">
          <cell r="A748">
            <v>300036700</v>
          </cell>
          <cell r="B748" t="str">
            <v xml:space="preserve">MARGARITA SMILES NATURAL 35GX30X1 </v>
          </cell>
        </row>
        <row r="749">
          <cell r="A749">
            <v>300036701</v>
          </cell>
          <cell r="B749" t="str">
            <v>MARGARITA SMILES POLLO 35GX30X1 CP</v>
          </cell>
        </row>
        <row r="750">
          <cell r="A750">
            <v>300036702</v>
          </cell>
          <cell r="B750" t="str">
            <v>MARGARITA BBQ 30GX30X1 CP</v>
          </cell>
        </row>
        <row r="751">
          <cell r="A751">
            <v>300036703</v>
          </cell>
          <cell r="B751" t="str">
            <v>MARGARITA LIMON 30GX30X1 CP</v>
          </cell>
        </row>
        <row r="752">
          <cell r="A752">
            <v>300036704</v>
          </cell>
          <cell r="B752" t="str">
            <v>MARGARITA NATURAL 30GX30X1 CP</v>
          </cell>
        </row>
        <row r="753">
          <cell r="A753">
            <v>300036705</v>
          </cell>
          <cell r="B753" t="str">
            <v>MARGARITA POLLO 30GX30X1 CP</v>
          </cell>
        </row>
        <row r="754">
          <cell r="A754">
            <v>300036706</v>
          </cell>
          <cell r="B754" t="str">
            <v>QUAKER SANDWICH FRESA 36GX18X6</v>
          </cell>
        </row>
        <row r="755">
          <cell r="A755">
            <v>300036707</v>
          </cell>
          <cell r="B755" t="str">
            <v>QUAKER SANDWICH VAINILLA 36GX18X6</v>
          </cell>
        </row>
        <row r="756">
          <cell r="A756">
            <v>300037075</v>
          </cell>
          <cell r="B756" t="str">
            <v>CHOCLITOS AREPITAS QUES Y MAN 170GX14</v>
          </cell>
        </row>
        <row r="757">
          <cell r="A757">
            <v>300037076</v>
          </cell>
          <cell r="B757" t="str">
            <v>CHOCLITOS AREPITAS QUES Y MAN 25GX35X1</v>
          </cell>
        </row>
        <row r="758">
          <cell r="A758">
            <v>300037080</v>
          </cell>
          <cell r="B758" t="str">
            <v>CHEETOS NATURAL 55GX36X1</v>
          </cell>
        </row>
        <row r="759">
          <cell r="A759">
            <v>300037081</v>
          </cell>
          <cell r="B759" t="str">
            <v>CHEETOS TRISSITOS PICANTE 49GX36X1</v>
          </cell>
        </row>
        <row r="760">
          <cell r="A760">
            <v>300037097</v>
          </cell>
          <cell r="B760" t="str">
            <v>CHOCLITOS AREPITAS QUES &amp; MANT 25GX3X6</v>
          </cell>
        </row>
        <row r="761">
          <cell r="A761">
            <v>300037098</v>
          </cell>
          <cell r="B761" t="str">
            <v>DETODITO 4 ASADO CRIOLLO 85GX21X1</v>
          </cell>
        </row>
        <row r="762">
          <cell r="A762">
            <v>300037099</v>
          </cell>
          <cell r="B762" t="str">
            <v>DETODITO 4 CRIOLLO BBQ 85GX21X1</v>
          </cell>
        </row>
        <row r="763">
          <cell r="A763">
            <v>300037103</v>
          </cell>
          <cell r="B763" t="str">
            <v>SURTIDO MAXXI 849G 2X1 BX30</v>
          </cell>
        </row>
        <row r="764">
          <cell r="A764">
            <v>300037104</v>
          </cell>
          <cell r="B764" t="str">
            <v>DETODITO MIXX3X1 BX12X45G+GTX1MIXX45G</v>
          </cell>
        </row>
        <row r="765">
          <cell r="A765">
            <v>300037140</v>
          </cell>
          <cell r="B765" t="str">
            <v>DETODITO 4 LIMON 85GX21X1</v>
          </cell>
        </row>
        <row r="766">
          <cell r="A766">
            <v>300037141</v>
          </cell>
          <cell r="B766" t="str">
            <v>DETODITO 4 POLLO 85GX21X1</v>
          </cell>
        </row>
        <row r="767">
          <cell r="A767">
            <v>300037185</v>
          </cell>
          <cell r="B767" t="str">
            <v>SURTIDO CHOKIS 492G 9X1 BX12</v>
          </cell>
        </row>
        <row r="768">
          <cell r="A768">
            <v>300037204</v>
          </cell>
          <cell r="B768" t="str">
            <v>NATUCHIPS PLATANO VERDE 240GX15X1</v>
          </cell>
        </row>
        <row r="769">
          <cell r="A769">
            <v>300037205</v>
          </cell>
          <cell r="B769" t="str">
            <v>GALL CHOKIS CHISPAS CHOCO 40GX13X6 EC</v>
          </cell>
        </row>
        <row r="770">
          <cell r="A770">
            <v>300037221</v>
          </cell>
          <cell r="B770" t="str">
            <v>CHOCLITOS LIMON 27GX9X12 IMP</v>
          </cell>
        </row>
        <row r="771">
          <cell r="A771">
            <v>300037234</v>
          </cell>
          <cell r="B771" t="str">
            <v>NATUCHIPS ARROZ SAL MARINA 140GX16X1</v>
          </cell>
        </row>
        <row r="772">
          <cell r="A772">
            <v>300037235</v>
          </cell>
          <cell r="B772" t="str">
            <v>NATUCHIPS ARROZ SAL MARINA 40GX36X1</v>
          </cell>
        </row>
        <row r="773">
          <cell r="A773">
            <v>300037236</v>
          </cell>
          <cell r="B773" t="str">
            <v>NATUCHIPS ARROZ SAL MARINA 40GX6X6</v>
          </cell>
        </row>
        <row r="774">
          <cell r="A774">
            <v>300037265</v>
          </cell>
          <cell r="B774" t="str">
            <v>CHEESE TRIS QUESO 50GX6X12 PACA</v>
          </cell>
        </row>
        <row r="775">
          <cell r="A775">
            <v>300037266</v>
          </cell>
          <cell r="B775" t="str">
            <v>GUDIZ VAINILLA 55GX40X1</v>
          </cell>
        </row>
        <row r="776">
          <cell r="A776">
            <v>300037274</v>
          </cell>
          <cell r="B776" t="str">
            <v>CHOCLITOS AREPITAS QUES&amp;MANT 25GX3X6 CP</v>
          </cell>
        </row>
        <row r="777">
          <cell r="A777">
            <v>300037275</v>
          </cell>
          <cell r="B777" t="str">
            <v>CHOCLITOS AREPITAS QUES&amp;MANT 25GX35X1 CP</v>
          </cell>
        </row>
        <row r="778">
          <cell r="A778">
            <v>300037278</v>
          </cell>
          <cell r="B778" t="str">
            <v>SURTIDO ULTRA LONCH 1434GX1X1 BX50</v>
          </cell>
        </row>
        <row r="779">
          <cell r="A779">
            <v>300037279</v>
          </cell>
          <cell r="B779" t="str">
            <v>SURTIDO HIPER LONCH 906GX2X1 BX30</v>
          </cell>
        </row>
        <row r="780">
          <cell r="A780">
            <v>300037280</v>
          </cell>
          <cell r="B780" t="str">
            <v>GALL CHOKIS CHISPAS CHOCO 40GX80X1 EC</v>
          </cell>
        </row>
        <row r="781">
          <cell r="A781">
            <v>300037283</v>
          </cell>
          <cell r="B781" t="str">
            <v>MARGARITA POLLO 33GX66X1 CP</v>
          </cell>
        </row>
        <row r="782">
          <cell r="A782">
            <v>300037284</v>
          </cell>
          <cell r="B782" t="str">
            <v>MARGARITA NATURAL 33GX66X1 CP</v>
          </cell>
        </row>
        <row r="783">
          <cell r="A783">
            <v>300037285</v>
          </cell>
          <cell r="B783" t="str">
            <v>MARGARITA LIMON 33GX66X1 CP</v>
          </cell>
        </row>
        <row r="784">
          <cell r="A784">
            <v>300037286</v>
          </cell>
          <cell r="B784" t="str">
            <v>MARGARITA BBQ 33GX66X1CP</v>
          </cell>
        </row>
        <row r="785">
          <cell r="A785">
            <v>300037287</v>
          </cell>
          <cell r="B785" t="str">
            <v>CHOCLITOS LIMON 27GX96X1 CP</v>
          </cell>
        </row>
        <row r="786">
          <cell r="A786">
            <v>300037288</v>
          </cell>
          <cell r="B786" t="str">
            <v>MAMUT MORAZUL 13GX16X24 DISPX24</v>
          </cell>
        </row>
        <row r="787">
          <cell r="A787">
            <v>300037289</v>
          </cell>
          <cell r="B787" t="str">
            <v>MAMUT MORAZUL 13GX1X200</v>
          </cell>
        </row>
        <row r="788">
          <cell r="A788">
            <v>300037750</v>
          </cell>
          <cell r="B788" t="str">
            <v>SURTIDO MEGA LONCHERA 704GX3X1 BX24</v>
          </cell>
        </row>
        <row r="789">
          <cell r="A789">
            <v>300037751</v>
          </cell>
          <cell r="B789" t="str">
            <v>SURTIDO SUPER LONCHERA 330GX7X1 BX12</v>
          </cell>
        </row>
        <row r="790">
          <cell r="A790">
            <v>300037780</v>
          </cell>
          <cell r="B790" t="str">
            <v>MAMUT OSCURO 13GX6X42 PE</v>
          </cell>
        </row>
        <row r="791">
          <cell r="A791">
            <v>300037781</v>
          </cell>
          <cell r="B791" t="str">
            <v>MAMUT BLANCO 13GX6X42 PE</v>
          </cell>
        </row>
        <row r="792">
          <cell r="A792">
            <v>300037782</v>
          </cell>
          <cell r="B792" t="str">
            <v>MAMUT OSCURO 13GX1X200 PE</v>
          </cell>
        </row>
        <row r="793">
          <cell r="A793">
            <v>300037784</v>
          </cell>
          <cell r="B793" t="str">
            <v>MAMUT BLANCO 13GX1X200 PE</v>
          </cell>
        </row>
        <row r="794">
          <cell r="A794">
            <v>300037860</v>
          </cell>
          <cell r="B794" t="str">
            <v>SURTIDO 2376GX1X1 SUBWAY 4</v>
          </cell>
        </row>
        <row r="795">
          <cell r="A795">
            <v>300037861</v>
          </cell>
          <cell r="B795" t="str">
            <v>SURTIDO 2216GX1X1 SUBWAY 3</v>
          </cell>
        </row>
        <row r="796">
          <cell r="A796">
            <v>300037862</v>
          </cell>
          <cell r="B796" t="str">
            <v>SURTIDO  2472GX1X1 SUBWAY 2</v>
          </cell>
        </row>
        <row r="797">
          <cell r="A797">
            <v>300037863</v>
          </cell>
          <cell r="B797" t="str">
            <v>SURTIDO 2456GX1X1 SUBWAY 1</v>
          </cell>
        </row>
        <row r="798">
          <cell r="A798">
            <v>300037910</v>
          </cell>
          <cell r="B798" t="str">
            <v>MARGARITA BBQ 25GX2X24</v>
          </cell>
        </row>
        <row r="799">
          <cell r="A799">
            <v>300037912</v>
          </cell>
          <cell r="B799" t="str">
            <v>MARGARITA NATURAL 25GX2X24</v>
          </cell>
        </row>
        <row r="800">
          <cell r="A800">
            <v>300037913</v>
          </cell>
          <cell r="B800" t="str">
            <v>MARGARITA LIMON 25GX2X24</v>
          </cell>
        </row>
        <row r="801">
          <cell r="A801">
            <v>300037918</v>
          </cell>
          <cell r="B801" t="str">
            <v>CHEESE TRIS QUESO 50GX5X12  CP</v>
          </cell>
        </row>
        <row r="802">
          <cell r="A802">
            <v>300037919</v>
          </cell>
          <cell r="B802" t="str">
            <v>CHEETOS BOLI QUESO 21GX6X12 PACA CP</v>
          </cell>
        </row>
        <row r="803">
          <cell r="A803">
            <v>300037932</v>
          </cell>
          <cell r="B803" t="str">
            <v>MAMUT BLANCO 13GX6X42 ME</v>
          </cell>
        </row>
        <row r="804">
          <cell r="A804">
            <v>300037949</v>
          </cell>
          <cell r="B804" t="str">
            <v>CHEESE TRIS QUESO 50GX72X1 CP</v>
          </cell>
        </row>
        <row r="805">
          <cell r="A805">
            <v>300037952</v>
          </cell>
          <cell r="B805" t="str">
            <v>GALL NAVIDAD ANCHETA SURT 220GX12X1 OT</v>
          </cell>
        </row>
        <row r="806">
          <cell r="A806">
            <v>300037953</v>
          </cell>
          <cell r="B806" t="str">
            <v>GALL NAVIDAD ANCHETA SURT 220GX12X1 TAT</v>
          </cell>
        </row>
        <row r="807">
          <cell r="A807">
            <v>300037968</v>
          </cell>
          <cell r="B807" t="str">
            <v>NATUCHIPS ARROZ CREM ALBAH 140GX16X1</v>
          </cell>
        </row>
        <row r="808">
          <cell r="A808">
            <v>300037969</v>
          </cell>
          <cell r="B808" t="str">
            <v>NATUCHIPS ARROZ CREM ALBAH 40GX6X6</v>
          </cell>
        </row>
        <row r="809">
          <cell r="A809">
            <v>300037989</v>
          </cell>
          <cell r="B809" t="str">
            <v>CHOKIS SURTIDO 264GX6X1 NAVIDAD</v>
          </cell>
        </row>
        <row r="810">
          <cell r="A810">
            <v>300037994</v>
          </cell>
          <cell r="B810" t="str">
            <v>QUAKER CRACKERS 7 GRANOS 24GX14X9 BRANQ</v>
          </cell>
        </row>
        <row r="811">
          <cell r="A811">
            <v>300037995</v>
          </cell>
          <cell r="B811" t="str">
            <v>QUAKER CRACKERS ARANDANOS 24GX14X9 BRAQ</v>
          </cell>
        </row>
        <row r="812">
          <cell r="A812">
            <v>300037996</v>
          </cell>
          <cell r="B812" t="str">
            <v>QUAKER CRACKERS MIEL 24GX14X9 BRANQ</v>
          </cell>
        </row>
        <row r="813">
          <cell r="A813">
            <v>300038023</v>
          </cell>
          <cell r="B813" t="str">
            <v>CHEETOS NATURAL 15GX1X80 BOL GOLD</v>
          </cell>
        </row>
        <row r="814">
          <cell r="A814">
            <v>300038033</v>
          </cell>
          <cell r="B814" t="str">
            <v>MARGARITA NATURAL 25GX66X1 CP BOL GOLD</v>
          </cell>
        </row>
        <row r="815">
          <cell r="A815">
            <v>300038034</v>
          </cell>
          <cell r="B815" t="str">
            <v>DETODITO BBQ 70GX18X1 GOLD</v>
          </cell>
        </row>
        <row r="816">
          <cell r="A816">
            <v>300038035</v>
          </cell>
          <cell r="B816" t="str">
            <v>DETODITO BBQ 155GX12X1 GOLD</v>
          </cell>
        </row>
        <row r="817">
          <cell r="A817">
            <v>300038042</v>
          </cell>
          <cell r="B817" t="str">
            <v>MARGARITA BBQ 25GX66X1 CP BOL GOLD</v>
          </cell>
        </row>
        <row r="818">
          <cell r="A818">
            <v>300038045</v>
          </cell>
          <cell r="B818" t="str">
            <v>MARGARITA POLLO 25GX66X1 CP BOL GOLD</v>
          </cell>
        </row>
        <row r="819">
          <cell r="A819">
            <v>300038046</v>
          </cell>
          <cell r="B819" t="str">
            <v>DETODITO NATURAL 70GX18X1 GOLD</v>
          </cell>
        </row>
        <row r="820">
          <cell r="A820">
            <v>300038047</v>
          </cell>
          <cell r="B820" t="str">
            <v>DETODITO NATURAL 155GX12X1 GOLD</v>
          </cell>
        </row>
        <row r="821">
          <cell r="A821">
            <v>300038048</v>
          </cell>
          <cell r="B821" t="str">
            <v>DETODITO NATURAL 250GX8X1 GOLD</v>
          </cell>
        </row>
        <row r="822">
          <cell r="A822">
            <v>300038049</v>
          </cell>
          <cell r="B822" t="str">
            <v>DETODITO NATURAL 400GX6X1 GOLD</v>
          </cell>
        </row>
        <row r="823">
          <cell r="A823">
            <v>300038060</v>
          </cell>
          <cell r="B823" t="str">
            <v>MARGARITA LIMON 25GX66X1 CP BOL GOLD</v>
          </cell>
        </row>
        <row r="824">
          <cell r="A824">
            <v>300038066</v>
          </cell>
          <cell r="B824" t="str">
            <v>MARGARITA NATURAL 30GX66X1 BOL GOLD</v>
          </cell>
        </row>
        <row r="825">
          <cell r="A825">
            <v>300038067</v>
          </cell>
          <cell r="B825" t="str">
            <v>MARGARITA BBQ 30GX66X1 BOL GOLD</v>
          </cell>
        </row>
        <row r="826">
          <cell r="A826">
            <v>300038068</v>
          </cell>
          <cell r="B826" t="str">
            <v>MARGARITA POLLO 30GX66X1 BOL GOLD</v>
          </cell>
        </row>
        <row r="827">
          <cell r="A827">
            <v>300038072</v>
          </cell>
          <cell r="B827" t="str">
            <v>MARGARITA LIMON 30GX66X1 BOL GOLD</v>
          </cell>
        </row>
        <row r="828">
          <cell r="A828">
            <v>300038073</v>
          </cell>
          <cell r="B828" t="str">
            <v>MARGARITA OND TOMATE 32GX66X1 BOL GOLD</v>
          </cell>
        </row>
        <row r="829">
          <cell r="A829">
            <v>300038074</v>
          </cell>
          <cell r="B829" t="str">
            <v>MARGARITA OND MAYONES 32GX66X1 BOL GOLD</v>
          </cell>
        </row>
        <row r="830">
          <cell r="A830">
            <v>300038077</v>
          </cell>
          <cell r="B830" t="str">
            <v>DETODITO BBQ 45GX30X1 BOL GOLD</v>
          </cell>
        </row>
        <row r="831">
          <cell r="A831">
            <v>300038080</v>
          </cell>
          <cell r="B831" t="str">
            <v>DETODITO NATURAL 45GX30X1 BOL GOLD</v>
          </cell>
        </row>
        <row r="832">
          <cell r="A832">
            <v>300038083</v>
          </cell>
          <cell r="B832" t="str">
            <v>NATUCHIPS PLAT VERD 40GX72X1 BOL GOLD</v>
          </cell>
        </row>
        <row r="833">
          <cell r="A833">
            <v>300038086</v>
          </cell>
          <cell r="B833" t="str">
            <v>NATUCHIPS PLAT MADU 40GX72X1 BOL GOLD</v>
          </cell>
        </row>
        <row r="834">
          <cell r="A834">
            <v>300038090</v>
          </cell>
          <cell r="B834" t="str">
            <v>MARGARITA NATURAL 25GX1X66 BOL GOLD</v>
          </cell>
        </row>
        <row r="835">
          <cell r="A835">
            <v>300038091</v>
          </cell>
          <cell r="B835" t="str">
            <v>MARGARITA BBQ 25GX1X66 BOL GOLD</v>
          </cell>
        </row>
        <row r="836">
          <cell r="A836">
            <v>300038092</v>
          </cell>
          <cell r="B836" t="str">
            <v>MARGARITA POLLO 25GX1X66 BOL GOLD</v>
          </cell>
        </row>
        <row r="837">
          <cell r="A837">
            <v>300038093</v>
          </cell>
          <cell r="B837" t="str">
            <v>MARGARITA LIMON 25GX1X66 BOL GOLD</v>
          </cell>
        </row>
        <row r="838">
          <cell r="A838">
            <v>300038110</v>
          </cell>
          <cell r="B838" t="str">
            <v>MARGARITA LIMON 35GX66X1 CP2</v>
          </cell>
        </row>
        <row r="839">
          <cell r="A839">
            <v>300038111</v>
          </cell>
          <cell r="B839" t="str">
            <v>MARGARITA BBQ 35GX66X1 CP2</v>
          </cell>
        </row>
        <row r="840">
          <cell r="A840">
            <v>300038112</v>
          </cell>
          <cell r="B840" t="str">
            <v>CHEETOS BOLI QUESO 48GX36X1 CP</v>
          </cell>
        </row>
        <row r="841">
          <cell r="A841">
            <v>300038113</v>
          </cell>
          <cell r="B841" t="str">
            <v>CHEESE TRIS QUESO 50GX6X12  PACA CP</v>
          </cell>
        </row>
        <row r="842">
          <cell r="A842">
            <v>300038114</v>
          </cell>
          <cell r="B842" t="str">
            <v>CHEETOS BOLI QUESO 21GX5X12 CP</v>
          </cell>
        </row>
        <row r="843">
          <cell r="A843">
            <v>300038130</v>
          </cell>
          <cell r="B843" t="str">
            <v>CHEETOS NATURAL 55GX36X1 CP</v>
          </cell>
        </row>
        <row r="844">
          <cell r="A844">
            <v>300038131</v>
          </cell>
          <cell r="B844" t="str">
            <v>CHEETOS TRISSITOS PICANTE 49GX36X1 CP</v>
          </cell>
        </row>
        <row r="845">
          <cell r="A845">
            <v>300038132</v>
          </cell>
          <cell r="B845" t="str">
            <v>MARGARITA POLLO 33GX66X1 CP</v>
          </cell>
        </row>
        <row r="846">
          <cell r="A846">
            <v>300038133</v>
          </cell>
          <cell r="B846" t="str">
            <v>MARGARITA POLLO 35GX66X1 CP2</v>
          </cell>
        </row>
        <row r="847">
          <cell r="A847">
            <v>300038134</v>
          </cell>
          <cell r="B847" t="str">
            <v>MARGARITA BBQ 33GX66X1 CP</v>
          </cell>
        </row>
        <row r="848">
          <cell r="A848">
            <v>300038135</v>
          </cell>
          <cell r="B848" t="str">
            <v>MARGARITA NATURAL 33GX66X1 CP</v>
          </cell>
        </row>
        <row r="849">
          <cell r="A849">
            <v>300038136</v>
          </cell>
          <cell r="B849" t="str">
            <v>MARGARITA LIMON 33GX66X1 CP</v>
          </cell>
        </row>
        <row r="850">
          <cell r="A850">
            <v>300038137</v>
          </cell>
          <cell r="B850" t="str">
            <v>MARGARITA NATURAL 35GX66X1 CP2</v>
          </cell>
        </row>
        <row r="851">
          <cell r="A851">
            <v>300038191</v>
          </cell>
          <cell r="B851" t="str">
            <v>CHOKIS CHISPAS SURTIDO 264GX13X1 COLOR</v>
          </cell>
        </row>
        <row r="852">
          <cell r="A852">
            <v>300038192</v>
          </cell>
          <cell r="B852" t="str">
            <v>GAMESA MANTEQUILLA 180GX12X1 CAR</v>
          </cell>
        </row>
        <row r="853">
          <cell r="A853">
            <v>300038200</v>
          </cell>
          <cell r="B853" t="str">
            <v>NATUCHIPS ARROZ CREM ALBAH 40GX36X1</v>
          </cell>
        </row>
        <row r="854">
          <cell r="A854">
            <v>300038260</v>
          </cell>
          <cell r="B854" t="str">
            <v>GAMESA MANTEQUILLA 180GX12X1 CAR</v>
          </cell>
        </row>
        <row r="855">
          <cell r="A855">
            <v>300038306</v>
          </cell>
          <cell r="B855" t="str">
            <v>GAMESA MANTEQUILLA 100GX12X1 NAVIDAD</v>
          </cell>
        </row>
        <row r="856">
          <cell r="A856">
            <v>300038307</v>
          </cell>
          <cell r="B856" t="str">
            <v>GALLETA GAMESA MANTEQUILLA 250GX12X1 PE</v>
          </cell>
        </row>
        <row r="857">
          <cell r="A857">
            <v>300038308</v>
          </cell>
          <cell r="B857" t="str">
            <v>CHOKIS SANDWICH FRESA 38GX18X6 PE</v>
          </cell>
        </row>
        <row r="858">
          <cell r="A858">
            <v>300038309</v>
          </cell>
          <cell r="B858" t="str">
            <v>CHOKIS SANDWICH CHOCOLATE 38GX18X6 PE</v>
          </cell>
        </row>
        <row r="859">
          <cell r="A859">
            <v>300038536</v>
          </cell>
          <cell r="B859" t="str">
            <v>DETODITO DUL&amp;SAL CHISPAS 180GX6X1</v>
          </cell>
        </row>
        <row r="860">
          <cell r="A860">
            <v>300038538</v>
          </cell>
          <cell r="B860" t="str">
            <v>DETODITO DUL&amp;SAL CHISPAS 58GX15X1</v>
          </cell>
        </row>
        <row r="861">
          <cell r="A861">
            <v>300038652</v>
          </cell>
          <cell r="B861" t="str">
            <v>DETODITO DUL&amp;SAL CARAMELO 170GX6X 1</v>
          </cell>
        </row>
        <row r="862">
          <cell r="A862">
            <v>300038654</v>
          </cell>
          <cell r="B862" t="str">
            <v>DETODITO DUL&amp;SAL CARAMELO 58GX15X 1</v>
          </cell>
        </row>
        <row r="863">
          <cell r="A863">
            <v>300038676</v>
          </cell>
          <cell r="B863" t="str">
            <v>QUAKER SANDWICH FRESA 36GX1X100</v>
          </cell>
        </row>
        <row r="864">
          <cell r="A864">
            <v>300038677</v>
          </cell>
          <cell r="B864" t="str">
            <v>QUAKER SANDWICH VAINILLA 36GX1X100</v>
          </cell>
        </row>
        <row r="865">
          <cell r="A865">
            <v>300038348</v>
          </cell>
          <cell r="B865" t="str">
            <v>GALLETA GAMESA MANTEQUILLA 250GX12X1 CA</v>
          </cell>
        </row>
        <row r="866">
          <cell r="A866">
            <v>300038078</v>
          </cell>
          <cell r="B866" t="str">
            <v>DETODITO MIX 45GX30X1 BOL GOLD</v>
          </cell>
        </row>
        <row r="867">
          <cell r="A867">
            <v>300038044</v>
          </cell>
          <cell r="B867" t="str">
            <v>DETODITO MIX 155GX12X1 GOLD</v>
          </cell>
        </row>
        <row r="868">
          <cell r="A868">
            <v>300038043</v>
          </cell>
          <cell r="B868" t="str">
            <v>DETODITO MIX 70GX18X1  GOLD</v>
          </cell>
        </row>
        <row r="869">
          <cell r="A869">
            <v>300038170</v>
          </cell>
          <cell r="B869" t="str">
            <v>NATUCHIPS MADURO 135GX16X1 CA</v>
          </cell>
        </row>
        <row r="870">
          <cell r="A870">
            <v>300037911</v>
          </cell>
          <cell r="B870" t="str">
            <v>MARGARITA POLLO 25GX2X24</v>
          </cell>
        </row>
        <row r="871">
          <cell r="A871">
            <v>300038171</v>
          </cell>
          <cell r="B871" t="str">
            <v>NATUCHIPS MADURO 40GX35X1 CA</v>
          </cell>
        </row>
        <row r="872">
          <cell r="A872">
            <v>300038172</v>
          </cell>
          <cell r="B872" t="str">
            <v>NATUCHIPS VERDE 135GX16X1 CA</v>
          </cell>
        </row>
        <row r="873">
          <cell r="A873">
            <v>300038173</v>
          </cell>
          <cell r="B873" t="str">
            <v>NATUCHIPS VERDE 40GX35X1 CA</v>
          </cell>
        </row>
        <row r="874">
          <cell r="A874">
            <v>300038653</v>
          </cell>
          <cell r="B874" t="str">
            <v>DETODITO DUL&amp;SAL CARAMELO 58GX2 X6IMP</v>
          </cell>
        </row>
        <row r="875">
          <cell r="A875">
            <v>300038537</v>
          </cell>
          <cell r="B875" t="str">
            <v>DETODITO DUL&amp;SAL CHISPAS 58GX2X6 IMP</v>
          </cell>
        </row>
        <row r="876">
          <cell r="A876">
            <v>300038342</v>
          </cell>
          <cell r="B876" t="str">
            <v>FRIT LAY MIX POP CHO MANI CONF40GX44X1</v>
          </cell>
        </row>
        <row r="877">
          <cell r="A877">
            <v>300038728</v>
          </cell>
          <cell r="B877" t="str">
            <v>CHEETOS WOW QUES TOC 140GX10X1</v>
          </cell>
        </row>
        <row r="878">
          <cell r="A878">
            <v>300038726</v>
          </cell>
          <cell r="B878" t="str">
            <v>CHEETOS WOW QUES TOC 39GX16X1</v>
          </cell>
        </row>
        <row r="879">
          <cell r="A879">
            <v>300038368</v>
          </cell>
          <cell r="B879" t="str">
            <v>FRIT LAY MIX POP CHO MANI CONF40GX4X8 DI</v>
          </cell>
        </row>
        <row r="880">
          <cell r="A880">
            <v>300038821</v>
          </cell>
          <cell r="B880" t="str">
            <v>CHEETOS WOW QUES TOC 39GX4X6 TIRA</v>
          </cell>
        </row>
        <row r="881">
          <cell r="A881">
            <v>300038740</v>
          </cell>
          <cell r="B881" t="str">
            <v>MARGARITA SENS PAPRIKA 120GX14X1</v>
          </cell>
        </row>
        <row r="882">
          <cell r="A882">
            <v>300038751</v>
          </cell>
          <cell r="B882" t="str">
            <v>MARGARITA SENS PAPRIKA 245GX10X1</v>
          </cell>
        </row>
        <row r="883">
          <cell r="A883">
            <v>300038749</v>
          </cell>
          <cell r="B883" t="str">
            <v>MARGARITA SENS POLLO TERIYAKI 120GX14X1</v>
          </cell>
        </row>
        <row r="884">
          <cell r="A884">
            <v>300038742</v>
          </cell>
          <cell r="B884" t="str">
            <v>MARGARITA SENS POLLO TERIYAKI 245GX10X1</v>
          </cell>
        </row>
        <row r="885">
          <cell r="A885">
            <v>300038752</v>
          </cell>
          <cell r="B885" t="str">
            <v>NATUNUTS MEZC NUECES FRESA 150GX25X1</v>
          </cell>
        </row>
        <row r="886">
          <cell r="A886">
            <v>300038745</v>
          </cell>
          <cell r="B886" t="str">
            <v>NATUNUTS MEZC NUECES FRESA 40GX4X10 DIS</v>
          </cell>
        </row>
        <row r="887">
          <cell r="A887">
            <v>300038741</v>
          </cell>
          <cell r="B887" t="str">
            <v>MARGARITA SENS PAPRIKA 38GX35X1</v>
          </cell>
        </row>
        <row r="888">
          <cell r="A888">
            <v>300038750</v>
          </cell>
          <cell r="B888" t="str">
            <v>MARGARITA SENS POLLO TERIYAKI 38GX35X1</v>
          </cell>
        </row>
        <row r="889">
          <cell r="A889">
            <v>300038744</v>
          </cell>
          <cell r="B889" t="str">
            <v>NATUNUTS MEZC NUECES PIÑA 150GX25X1</v>
          </cell>
        </row>
        <row r="890">
          <cell r="A890">
            <v>300038754</v>
          </cell>
          <cell r="B890" t="str">
            <v>NATUNUTS MEZC NUECES PIÑA 40GX4X10 DIS</v>
          </cell>
        </row>
        <row r="891">
          <cell r="A891">
            <v>200010390</v>
          </cell>
          <cell r="B891" t="str">
            <v>SE MAMUT OSCURO 2600X1X1 ME</v>
          </cell>
        </row>
        <row r="892">
          <cell r="A892">
            <v>300038727</v>
          </cell>
          <cell r="B892" t="str">
            <v>CHEETOS WOW QUES TOC 20GX27X1</v>
          </cell>
        </row>
        <row r="893">
          <cell r="A893">
            <v>300038823</v>
          </cell>
          <cell r="B893" t="str">
            <v>CHEETOS WOW QUES TOC 20GX3X6 TIRA</v>
          </cell>
        </row>
        <row r="894">
          <cell r="A894">
            <v>300038943</v>
          </cell>
          <cell r="B894" t="str">
            <v>CHEESE TRIS QUESO 45GX6X12 CP</v>
          </cell>
        </row>
        <row r="895">
          <cell r="A895">
            <v>300038021</v>
          </cell>
          <cell r="B895" t="str">
            <v>CHEESE TRIS QUESO 93GX27X1 CP</v>
          </cell>
        </row>
        <row r="896">
          <cell r="A896">
            <v>300038946</v>
          </cell>
          <cell r="B896" t="str">
            <v>CHEETOS BOLI QUESO 44GX30X1 CP</v>
          </cell>
        </row>
        <row r="897">
          <cell r="A897">
            <v>300039013</v>
          </cell>
          <cell r="B897" t="str">
            <v>CHEETOS NATURAL 50GX36X1 CP</v>
          </cell>
        </row>
        <row r="898">
          <cell r="A898">
            <v>300038977</v>
          </cell>
          <cell r="B898" t="str">
            <v>CHEETOS TRISSITOS PIC 45GX36X1 PACA CP</v>
          </cell>
        </row>
        <row r="899">
          <cell r="A899">
            <v>200008100</v>
          </cell>
          <cell r="B899" t="str">
            <v>SE PLATANO VERDE 3KGX1X1 BULK EXP</v>
          </cell>
        </row>
        <row r="900">
          <cell r="A900">
            <v>200009229</v>
          </cell>
          <cell r="B900" t="str">
            <v>SE PLATANO DTD NATURAL REC STOCK 5KG</v>
          </cell>
        </row>
        <row r="901">
          <cell r="A901">
            <v>200009048</v>
          </cell>
          <cell r="B901" t="str">
            <v>SE DTD MADURO REC STOCK 4KG</v>
          </cell>
        </row>
        <row r="902">
          <cell r="A902">
            <v>300038774</v>
          </cell>
          <cell r="B902" t="str">
            <v>CHEETOS NATURAL 25GX33X1 CP</v>
          </cell>
        </row>
        <row r="903">
          <cell r="A903">
            <v>300038747</v>
          </cell>
          <cell r="B903" t="str">
            <v>MGTA RECCLA NATURAL 38GX35X1</v>
          </cell>
        </row>
        <row r="904">
          <cell r="A904">
            <v>300038746</v>
          </cell>
          <cell r="B904" t="str">
            <v>MGTA RECCLA ALITAS BBQ 38GX35X1</v>
          </cell>
        </row>
        <row r="905">
          <cell r="A905">
            <v>300038097</v>
          </cell>
          <cell r="B905" t="str">
            <v>NATUCHIPS PLAT VERDE 40GX72X1 CP BOL GOL</v>
          </cell>
        </row>
        <row r="906">
          <cell r="A906">
            <v>300038985</v>
          </cell>
          <cell r="B906" t="str">
            <v>GAL CHOKIS CHOCOBASE CHOC 52GX75X1 ME EN</v>
          </cell>
        </row>
        <row r="907">
          <cell r="A907">
            <v>300039133</v>
          </cell>
          <cell r="B907" t="str">
            <v>DETODITO LIMON 45GX30X1</v>
          </cell>
        </row>
        <row r="908">
          <cell r="A908">
            <v>300039137</v>
          </cell>
          <cell r="B908" t="str">
            <v>DETODITO POLLO 45GX30X1</v>
          </cell>
        </row>
        <row r="909">
          <cell r="A909">
            <v>300038098</v>
          </cell>
          <cell r="B909" t="str">
            <v>NATUCHIPS PLAT MADU 40GX72X1 CP BOL GOLD</v>
          </cell>
        </row>
        <row r="910">
          <cell r="A910">
            <v>300037082</v>
          </cell>
          <cell r="B910" t="str">
            <v>QUAKER SANDWICH FRESA 36GX18X6 PE</v>
          </cell>
        </row>
        <row r="911">
          <cell r="A911">
            <v>300037083</v>
          </cell>
          <cell r="B911" t="str">
            <v>GALL QUAKER SANDW VAINILLA 36GX18X6 PE</v>
          </cell>
        </row>
        <row r="912">
          <cell r="A912">
            <v>300038822</v>
          </cell>
          <cell r="B912" t="str">
            <v>CHEETOS NATURAL 80GX16X1 CP</v>
          </cell>
        </row>
        <row r="913">
          <cell r="A913">
            <v>300038949</v>
          </cell>
          <cell r="B913" t="str">
            <v>CHEETOS TRISSITOS PICANTE 70GX16X1 CP</v>
          </cell>
        </row>
        <row r="914">
          <cell r="A914">
            <v>300038945</v>
          </cell>
          <cell r="B914" t="str">
            <v>CHEETOS BOLI QUESO 44GX24X1 CP</v>
          </cell>
        </row>
        <row r="915">
          <cell r="A915">
            <v>300038948</v>
          </cell>
          <cell r="B915" t="str">
            <v>CHEETOS BOLI QUESO 80GX16X1 CP</v>
          </cell>
        </row>
        <row r="916">
          <cell r="A916">
            <v>300039138</v>
          </cell>
          <cell r="B916" t="str">
            <v>DETODITO POLLO 45GX6X6 IMP</v>
          </cell>
        </row>
        <row r="917">
          <cell r="A917">
            <v>300039134</v>
          </cell>
          <cell r="B917" t="str">
            <v>DETODITO LIMON 45GX6X6 IMP</v>
          </cell>
        </row>
        <row r="918">
          <cell r="A918">
            <v>300038055</v>
          </cell>
          <cell r="B918" t="str">
            <v>DORITOS MEGAQUESO 38GX66X1 BOL GOLD</v>
          </cell>
        </row>
        <row r="919">
          <cell r="A919">
            <v>300038027</v>
          </cell>
          <cell r="B919" t="str">
            <v>CHEETOS TRISSITOS PICANTE 125GX10X1 GOLD</v>
          </cell>
        </row>
        <row r="920">
          <cell r="A920">
            <v>300039012</v>
          </cell>
          <cell r="B920" t="str">
            <v>CHEETOS NATURAL 50GX36X1</v>
          </cell>
        </row>
        <row r="921">
          <cell r="A921">
            <v>300039011</v>
          </cell>
          <cell r="B921" t="str">
            <v>CHEESE TRIS QUESO 30GX80X1 CP</v>
          </cell>
        </row>
        <row r="922">
          <cell r="A922">
            <v>300039131</v>
          </cell>
          <cell r="B922" t="str">
            <v>CHEETOS NATURAL 15GX96X1 SIN CAJA</v>
          </cell>
        </row>
        <row r="923">
          <cell r="A923">
            <v>300038748</v>
          </cell>
          <cell r="B923" t="str">
            <v>MGTA RECCLA NATURAL 38GX10X6 BX6 IMP</v>
          </cell>
        </row>
        <row r="924">
          <cell r="A924">
            <v>300038753</v>
          </cell>
          <cell r="B924" t="str">
            <v>MGTA RECCLA ALITAS BBQ 38GX10X6 BX6 IMP</v>
          </cell>
        </row>
        <row r="925">
          <cell r="A925">
            <v>300039373</v>
          </cell>
          <cell r="B925" t="str">
            <v>DETODITO DUL&amp;SAL CARAMELO 58GX4X3 TIRA</v>
          </cell>
        </row>
        <row r="926">
          <cell r="A926">
            <v>300039374</v>
          </cell>
          <cell r="B926" t="str">
            <v>DETODITO DUL&amp;SAL CHISPAS 58GX4X3 TIRA</v>
          </cell>
        </row>
        <row r="927">
          <cell r="A927">
            <v>300039158</v>
          </cell>
          <cell r="B927" t="str">
            <v>DETODITO MAÑANITA 40GX3X6 TIRA</v>
          </cell>
        </row>
        <row r="928">
          <cell r="A928">
            <v>300038978</v>
          </cell>
          <cell r="B928" t="str">
            <v>CHEETOS TRISSITOS PIC 45GX36X1 PACA</v>
          </cell>
        </row>
        <row r="929">
          <cell r="A929">
            <v>300038761</v>
          </cell>
          <cell r="B929" t="str">
            <v>CHOCLITOS AREPITAS QUES&amp;MANT 25GX6X12 IM</v>
          </cell>
        </row>
        <row r="930">
          <cell r="A930">
            <v>300037105</v>
          </cell>
          <cell r="B930" t="str">
            <v>CHOKIS SURTIDO 660GX6X1</v>
          </cell>
        </row>
        <row r="931">
          <cell r="A931">
            <v>300038942</v>
          </cell>
          <cell r="B931" t="str">
            <v>CHEESE TRIS QUESO 45GX6X12</v>
          </cell>
        </row>
        <row r="932">
          <cell r="A932">
            <v>300038025</v>
          </cell>
          <cell r="B932" t="str">
            <v>CHEETOS BOLI QUESO 44GX24X1</v>
          </cell>
        </row>
        <row r="933">
          <cell r="A933">
            <v>300039247</v>
          </cell>
          <cell r="B933" t="str">
            <v>CHOKIS SAND CHOAVELLANA 38GX10X12 CP</v>
          </cell>
        </row>
        <row r="934">
          <cell r="A934">
            <v>300039844</v>
          </cell>
          <cell r="B934" t="str">
            <v>MARGARITA ONDULADA GRATINADA 30GX66X1</v>
          </cell>
        </row>
        <row r="935">
          <cell r="A935">
            <v>300039842</v>
          </cell>
          <cell r="B935" t="str">
            <v>MARGARITA ONDULADA JALAPEÑO 30GX66X1</v>
          </cell>
        </row>
        <row r="936">
          <cell r="A936">
            <v>300039744</v>
          </cell>
          <cell r="B936" t="str">
            <v>MARGARITA ONDULADA GRATINADA 30GX3X6 TIR</v>
          </cell>
        </row>
        <row r="937">
          <cell r="A937">
            <v>300039745</v>
          </cell>
          <cell r="B937" t="str">
            <v>MARGARITA ONDULADA JALAPEÑO 30GX3X6 TIRA</v>
          </cell>
        </row>
        <row r="938">
          <cell r="A938">
            <v>300038878</v>
          </cell>
          <cell r="B938" t="str">
            <v>MARGARITA REC CLAS NATURAL 120GX14X1</v>
          </cell>
        </row>
        <row r="939">
          <cell r="A939">
            <v>300039831</v>
          </cell>
          <cell r="B939" t="str">
            <v>CHEETOS BOLI QUESO 20GX5X12 CP</v>
          </cell>
        </row>
        <row r="940">
          <cell r="A940">
            <v>300039814</v>
          </cell>
          <cell r="B940" t="str">
            <v>DORITOS PARRILLADA 180GX14X1</v>
          </cell>
        </row>
        <row r="941">
          <cell r="A941">
            <v>300039815</v>
          </cell>
          <cell r="B941" t="str">
            <v>DORITOS PARRILLADA 37GX66X1</v>
          </cell>
        </row>
        <row r="942">
          <cell r="A942">
            <v>300039739</v>
          </cell>
          <cell r="B942" t="str">
            <v>DORITOS PARRILLADA 37GX3X6 TIRA</v>
          </cell>
        </row>
        <row r="943">
          <cell r="A943">
            <v>300039843</v>
          </cell>
          <cell r="B943" t="str">
            <v>MARGARITA ONDULADA GRATINADA 105GX14X1</v>
          </cell>
        </row>
        <row r="944">
          <cell r="A944">
            <v>300039841</v>
          </cell>
          <cell r="B944" t="str">
            <v>MARGARITA ONDULADA JALAPEÑO 105GX14X1</v>
          </cell>
        </row>
        <row r="945">
          <cell r="A945">
            <v>300038879</v>
          </cell>
          <cell r="B945" t="str">
            <v>MARGARITA REC CLAS POLL BBQ 120GX14X1</v>
          </cell>
        </row>
        <row r="946">
          <cell r="A946">
            <v>300039366</v>
          </cell>
          <cell r="B946" t="str">
            <v>SUNBITES WAVY CEBOLLA 140GX24X1</v>
          </cell>
        </row>
        <row r="947">
          <cell r="A947">
            <v>300039364</v>
          </cell>
          <cell r="B947" t="str">
            <v>SUNBITES WAVY CEBOLLA 35GX64X1</v>
          </cell>
        </row>
        <row r="948">
          <cell r="A948">
            <v>300039309</v>
          </cell>
          <cell r="B948" t="str">
            <v>SUNBITES WAVY ORIGINAL 140GX24X1</v>
          </cell>
        </row>
        <row r="949">
          <cell r="A949">
            <v>300039686</v>
          </cell>
          <cell r="B949" t="str">
            <v>SUNBITES WAVY ORIGINAL 35GX64X1</v>
          </cell>
        </row>
        <row r="950">
          <cell r="A950">
            <v>300038030</v>
          </cell>
          <cell r="B950" t="str">
            <v>CHOCLITOS LIMON 27GX112X1 BOL GOLD</v>
          </cell>
        </row>
        <row r="951">
          <cell r="A951">
            <v>300038941</v>
          </cell>
          <cell r="B951" t="str">
            <v>CHEESE TRIS QUESO 45GX12X6 SEXTA</v>
          </cell>
        </row>
        <row r="952">
          <cell r="A952">
            <v>300039827</v>
          </cell>
          <cell r="B952" t="str">
            <v>DETODITO MIX 45GX30X1 CINTA</v>
          </cell>
        </row>
        <row r="953">
          <cell r="A953">
            <v>300039828</v>
          </cell>
          <cell r="B953" t="str">
            <v>DETODITO NATURAL 45GX30X1 CINTA</v>
          </cell>
        </row>
        <row r="954">
          <cell r="A954">
            <v>300039257</v>
          </cell>
          <cell r="B954" t="str">
            <v>MANI MOTO NATURAL 40GX14X16 DISPX16 EC</v>
          </cell>
        </row>
        <row r="955">
          <cell r="A955">
            <v>300039255</v>
          </cell>
          <cell r="B955" t="str">
            <v>MANI MOTO NATURAL 210GX20X1 EC</v>
          </cell>
        </row>
        <row r="956">
          <cell r="A956">
            <v>300039256</v>
          </cell>
          <cell r="B956" t="str">
            <v>MANI MOTO NATURAL 30GX15X12 DISPX12 EC</v>
          </cell>
        </row>
        <row r="957">
          <cell r="A957">
            <v>300039826</v>
          </cell>
          <cell r="B957" t="str">
            <v>DETODITO BBQ 45GX30X1 CINTA</v>
          </cell>
        </row>
        <row r="958">
          <cell r="A958">
            <v>300038858</v>
          </cell>
          <cell r="B958" t="str">
            <v>CHOKIS SANDWICH CHOCOAVELLANA 38GX18X6</v>
          </cell>
        </row>
        <row r="959">
          <cell r="A959">
            <v>300039878</v>
          </cell>
          <cell r="B959" t="str">
            <v>CHEETOS CANCHITA CARAMELO 47GX42X1 PE</v>
          </cell>
        </row>
        <row r="960">
          <cell r="A960">
            <v>300040031</v>
          </cell>
          <cell r="B960" t="str">
            <v>LAYS SENS PAPRIKA 185GX12X1 PE</v>
          </cell>
        </row>
        <row r="961">
          <cell r="A961">
            <v>300039010</v>
          </cell>
          <cell r="B961" t="str">
            <v>CHOKIS CHISPAS 40GX15X6</v>
          </cell>
        </row>
        <row r="962">
          <cell r="A962">
            <v>300038983</v>
          </cell>
          <cell r="B962" t="str">
            <v>CHOKIS CHISPAS BLACK 40GX15X6</v>
          </cell>
        </row>
        <row r="963">
          <cell r="A963">
            <v>300038986</v>
          </cell>
          <cell r="B963" t="str">
            <v>CHOKIS CHOCOBASE CHOCOLATE 52GX15X6</v>
          </cell>
        </row>
        <row r="964">
          <cell r="A964">
            <v>300040032</v>
          </cell>
          <cell r="B964" t="str">
            <v>LAYS SENS POLLO TERIYAKI 185GX12X1 PE</v>
          </cell>
        </row>
        <row r="965">
          <cell r="A965">
            <v>300039241</v>
          </cell>
          <cell r="B965" t="str">
            <v>CHEETOS BOLI QUESO 20GX72X1 MQ</v>
          </cell>
        </row>
        <row r="966">
          <cell r="A966">
            <v>300038944</v>
          </cell>
          <cell r="B966" t="str">
            <v>CHEESE TRIS QUESO 45GX72X1 MQ</v>
          </cell>
        </row>
        <row r="967">
          <cell r="A967">
            <v>300039730</v>
          </cell>
          <cell r="B967" t="str">
            <v>SURTIDO LONCHERA FAVORITA  331GX5X1 BX12</v>
          </cell>
        </row>
        <row r="968">
          <cell r="A968">
            <v>300039832</v>
          </cell>
          <cell r="B968" t="str">
            <v>CHEETOS BOLI QUESO 20GX5X12</v>
          </cell>
        </row>
        <row r="969">
          <cell r="A969">
            <v>300039282</v>
          </cell>
          <cell r="B969" t="str">
            <v>CHEETOS CRISPETA CARAMELO 45GX42X1</v>
          </cell>
        </row>
        <row r="970">
          <cell r="A970">
            <v>300039845</v>
          </cell>
          <cell r="B970" t="str">
            <v>CHOCLITOS AREPITAS QUES&amp;MANT 25GX6X7 TIR</v>
          </cell>
        </row>
        <row r="971">
          <cell r="A971">
            <v>300039763</v>
          </cell>
          <cell r="B971" t="str">
            <v>DORITOS MEGAQUESO  34GX66X1</v>
          </cell>
        </row>
        <row r="972">
          <cell r="A972">
            <v>300039913</v>
          </cell>
          <cell r="B972" t="str">
            <v>SURT 3X1 PANAT110G+DTD155G+DORQUESO185G</v>
          </cell>
        </row>
        <row r="973">
          <cell r="A973">
            <v>300039731</v>
          </cell>
          <cell r="B973" t="str">
            <v>SURTIDO ULTRA LONCH 1398GX1X1 BX50</v>
          </cell>
        </row>
        <row r="974">
          <cell r="A974">
            <v>300041614</v>
          </cell>
          <cell r="B974" t="str">
            <v>CHOKIS 6X1 CHISP40G 2BX6</v>
          </cell>
        </row>
        <row r="975">
          <cell r="A975">
            <v>300039888</v>
          </cell>
          <cell r="B975" t="str">
            <v>SURT MEGA LONCHERA 608GX3X1 PREC ESP</v>
          </cell>
        </row>
        <row r="976">
          <cell r="A976">
            <v>300039910</v>
          </cell>
          <cell r="B976" t="str">
            <v>SURT MIX 18X1 GUDIZ28G+CHEETRIS45G</v>
          </cell>
        </row>
        <row r="977">
          <cell r="A977">
            <v>300039889</v>
          </cell>
          <cell r="B977" t="str">
            <v>SURT SUP LONCHERA 282GX7X1 PREC ESP    </v>
          </cell>
        </row>
        <row r="978">
          <cell r="A978">
            <v>300040070</v>
          </cell>
          <cell r="B978" t="str">
            <v>MARGARITA 2X1 2BX12POLL25G</v>
          </cell>
        </row>
        <row r="979">
          <cell r="A979">
            <v>300040058</v>
          </cell>
          <cell r="B979" t="str">
            <v>MARGARITA RECCLA 3X1 BX6NA38G+BX6ALIT38G</v>
          </cell>
        </row>
        <row r="980">
          <cell r="A980">
            <v>300041612</v>
          </cell>
          <cell r="B980" t="str">
            <v>DETODITO SURTIDO 350GX1X1</v>
          </cell>
        </row>
        <row r="981">
          <cell r="A981">
            <v>300040059</v>
          </cell>
          <cell r="B981" t="str">
            <v>MARGARITA 2X1 2BX12LIM25G</v>
          </cell>
        </row>
        <row r="982">
          <cell r="A982">
            <v>300038994</v>
          </cell>
          <cell r="B982" t="str">
            <v>SUNBITES SNACKS MIEL 40GX90X1</v>
          </cell>
        </row>
        <row r="983">
          <cell r="A983">
            <v>300038990</v>
          </cell>
          <cell r="B983" t="str">
            <v>SUNBITES SNACKS MIEL 90GX40X1</v>
          </cell>
        </row>
        <row r="984">
          <cell r="A984">
            <v>300038991</v>
          </cell>
          <cell r="B984" t="str">
            <v>SUNBITES SNACKS QUESO 40GX90X1</v>
          </cell>
        </row>
        <row r="985">
          <cell r="A985">
            <v>300039021</v>
          </cell>
          <cell r="B985" t="str">
            <v>SUNBITES SNACKS QUESO 90GX40X1</v>
          </cell>
        </row>
        <row r="986">
          <cell r="A986">
            <v>300041610</v>
          </cell>
          <cell r="B986" t="str">
            <v>DETODITO BBQ 50GX27X1</v>
          </cell>
        </row>
        <row r="987">
          <cell r="A987">
            <v>300041611</v>
          </cell>
          <cell r="B987" t="str">
            <v>DETODITO NATURAL 50GX27X1</v>
          </cell>
        </row>
        <row r="988">
          <cell r="A988">
            <v>300038298</v>
          </cell>
          <cell r="B988" t="str">
            <v>DORITOS MEGAQUESO 34GX6X10 IMP</v>
          </cell>
        </row>
        <row r="989">
          <cell r="A989">
            <v>300041650</v>
          </cell>
          <cell r="B989" t="str">
            <v>CHEETOS CRISPETA CARAMELO 45GX7X6 IMP</v>
          </cell>
        </row>
        <row r="990">
          <cell r="A990">
            <v>300039912</v>
          </cell>
          <cell r="B990" t="str">
            <v>SURTIDO MAXXI 825G 2X1 BX30</v>
          </cell>
        </row>
        <row r="991">
          <cell r="A991">
            <v>300039245</v>
          </cell>
          <cell r="B991" t="str">
            <v>CHEETOS BOLI QUESO 20GX6X12 PACA CP</v>
          </cell>
        </row>
        <row r="992">
          <cell r="A992">
            <v>300042396</v>
          </cell>
          <cell r="B992" t="str">
            <v>NATUCHIPS PLATANO MAD CREM 130GX16X1</v>
          </cell>
        </row>
        <row r="993">
          <cell r="A993">
            <v>300042397</v>
          </cell>
          <cell r="B993" t="str">
            <v>NATUCHIPS PLATANO MAD CREM 36GX72X1</v>
          </cell>
        </row>
        <row r="994">
          <cell r="A994">
            <v>300042394</v>
          </cell>
          <cell r="B994" t="str">
            <v>NATUCHIPS PLATANO VER AJI 130GX16X1</v>
          </cell>
        </row>
        <row r="995">
          <cell r="A995">
            <v>300042398</v>
          </cell>
          <cell r="B995" t="str">
            <v>NATUCHIPS PLATANO VER AJI 36GX72X1</v>
          </cell>
        </row>
        <row r="996">
          <cell r="A996">
            <v>300042339</v>
          </cell>
          <cell r="B996" t="str">
            <v>NATUCHIPS PLAT AJI CREMA 36GX3X6 TIRA</v>
          </cell>
        </row>
        <row r="997">
          <cell r="A997">
            <v>300042393</v>
          </cell>
          <cell r="B997" t="str">
            <v>NATUCHIPS PLATANO MAD CREM 36GX6X6 IMP</v>
          </cell>
        </row>
        <row r="998">
          <cell r="A998">
            <v>300042392</v>
          </cell>
          <cell r="B998" t="str">
            <v>NATUCHIPS PLATANO VER AJI 36GX6X6 IMP</v>
          </cell>
        </row>
        <row r="999">
          <cell r="A999">
            <v>300042285</v>
          </cell>
          <cell r="B999" t="str">
            <v>MARGARITA REC CLAS LIMONPIMIE 37GX35X1</v>
          </cell>
        </row>
        <row r="1000">
          <cell r="A1000">
            <v>300042286</v>
          </cell>
          <cell r="B1000" t="str">
            <v>MARGARITA REC CLAS LIMONPIMI 37GX3X5 TIR</v>
          </cell>
        </row>
        <row r="1001">
          <cell r="A1001">
            <v>300039860</v>
          </cell>
          <cell r="B1001" t="str">
            <v>MARGARITA REC CLAS LIMONPIMIE 115GX14X1</v>
          </cell>
        </row>
        <row r="1002">
          <cell r="A1002">
            <v>300042496</v>
          </cell>
          <cell r="B1002" t="str">
            <v>MGTA REC CLAS LIMONPIM 37GX5X6 BX6IMP</v>
          </cell>
        </row>
        <row r="1003">
          <cell r="A1003">
            <v>300041829</v>
          </cell>
          <cell r="B1003" t="str">
            <v>GALL CHOKIS SAN CHOBLANC 38GX10X12 CA</v>
          </cell>
        </row>
        <row r="1004">
          <cell r="A1004">
            <v>300042451</v>
          </cell>
          <cell r="B1004" t="str">
            <v>DORITOS BBQ 175GX14X1</v>
          </cell>
        </row>
        <row r="1005">
          <cell r="A1005">
            <v>300042433</v>
          </cell>
          <cell r="B1005" t="str">
            <v>DORITOS BBQ 36GX5X4 TIRAX4</v>
          </cell>
        </row>
        <row r="1006">
          <cell r="A1006">
            <v>300041828</v>
          </cell>
          <cell r="B1006" t="str">
            <v>GALL CHOKIS SAN CHOAVEL 38GX10X12 CA</v>
          </cell>
        </row>
        <row r="1007">
          <cell r="A1007">
            <v>300042432</v>
          </cell>
          <cell r="B1007" t="str">
            <v>DORITOS BBQ 36GX66X1</v>
          </cell>
        </row>
        <row r="1008">
          <cell r="A1008">
            <v>300042468</v>
          </cell>
          <cell r="B1008" t="str">
            <v>GALL MINI MAMUT BLANCO 13GX1X200 CA</v>
          </cell>
        </row>
        <row r="1009">
          <cell r="A1009">
            <v>300042467</v>
          </cell>
          <cell r="B1009" t="str">
            <v>GALL MINI MAMUT BLANCO 13GX6X42 CA</v>
          </cell>
        </row>
        <row r="1010">
          <cell r="A1010">
            <v>300041938</v>
          </cell>
          <cell r="B1010" t="str">
            <v>DETODITO DUL&amp;SAL CARAMELO 45GX30X1</v>
          </cell>
        </row>
        <row r="1011">
          <cell r="A1011">
            <v>300042443</v>
          </cell>
          <cell r="B1011" t="str">
            <v>GALL CHOKIS BLACK 40GX13X6 PE</v>
          </cell>
        </row>
        <row r="1012">
          <cell r="A1012">
            <v>300042288</v>
          </cell>
          <cell r="B1012" t="str">
            <v>GAMESA NAVIDAD MANTEQUILLA 300GX12X1</v>
          </cell>
        </row>
        <row r="1013">
          <cell r="A1013">
            <v>300042283</v>
          </cell>
          <cell r="B1013" t="str">
            <v>CHOKIS MINIS CHISPAS  32GX72X1 CP</v>
          </cell>
        </row>
        <row r="1014">
          <cell r="A1014">
            <v>300042282</v>
          </cell>
          <cell r="B1014" t="str">
            <v>CHOKIS MINIS CHISPAS  32GX9X6 CP TIR</v>
          </cell>
        </row>
        <row r="1015">
          <cell r="A1015">
            <v>300041939</v>
          </cell>
          <cell r="B1015" t="str">
            <v>DETODITO DUL&amp;SAL CARAMELO 45GX4X3</v>
          </cell>
        </row>
        <row r="1016">
          <cell r="A1016">
            <v>300042403</v>
          </cell>
          <cell r="B1016" t="str">
            <v>CHOKIS MINIS CHISPAS  32GX72X1</v>
          </cell>
        </row>
        <row r="1017">
          <cell r="A1017">
            <v>300042404</v>
          </cell>
          <cell r="B1017" t="str">
            <v>CHOKIS MINIS CHISPAS  32GX12X8  IMP</v>
          </cell>
        </row>
        <row r="1018">
          <cell r="A1018">
            <v>300042405</v>
          </cell>
          <cell r="B1018" t="str">
            <v>CHOKIS MINIS CHISPAS  32GX12X8 CP</v>
          </cell>
        </row>
        <row r="1019">
          <cell r="A1019">
            <v>300042391</v>
          </cell>
          <cell r="B1019" t="str">
            <v>GALL CHOKIS CHISPAS CLÁSICA 40GX13X6 BO</v>
          </cell>
        </row>
        <row r="1020">
          <cell r="A1020">
            <v>300038024</v>
          </cell>
          <cell r="B1020" t="str">
            <v>CHEETOS BOLI QUESO 160GX10X1 GOLD</v>
          </cell>
        </row>
        <row r="1021">
          <cell r="A1021">
            <v>300038026</v>
          </cell>
          <cell r="B1021" t="str">
            <v>CHEETOS MAXI NATURAL 130GX10X1 GOLD</v>
          </cell>
        </row>
        <row r="1022">
          <cell r="A1022">
            <v>300042435</v>
          </cell>
          <cell r="B1022" t="str">
            <v>CHOKIS CHISPAS 10GX200X1 NAV</v>
          </cell>
        </row>
        <row r="1023">
          <cell r="A1023">
            <v>300042554</v>
          </cell>
          <cell r="B1023" t="str">
            <v>CHOCOBASEX6+CHOKIS BLACKX6 6X1</v>
          </cell>
        </row>
        <row r="1024">
          <cell r="A1024">
            <v>300042478</v>
          </cell>
          <cell r="B1024" t="str">
            <v>DORITOS MQUESO 34GX6X1 BX10X34G IMP</v>
          </cell>
        </row>
        <row r="1025">
          <cell r="A1025">
            <v>300042419</v>
          </cell>
          <cell r="B1025" t="str">
            <v>DORITOS MQ 34GX10+DTDNATUX6 2X1 DSCTO</v>
          </cell>
        </row>
        <row r="1026">
          <cell r="A1026">
            <v>300042550</v>
          </cell>
          <cell r="B1026" t="str">
            <v>NATUCHSX12 VERD 4X1+GT 2SUNBCBLLA&amp;NAT35G</v>
          </cell>
        </row>
        <row r="1027">
          <cell r="A1027">
            <v>300042553</v>
          </cell>
          <cell r="B1027" t="str">
            <v>NATUCHSX6 SALM 4X1+GT 2SUNBCBLLA&amp;NAT35G</v>
          </cell>
        </row>
        <row r="1028">
          <cell r="A1028">
            <v>300042399</v>
          </cell>
          <cell r="B1028" t="str">
            <v>QUAKER AVENA PASAS 30GX150X1</v>
          </cell>
        </row>
        <row r="1029">
          <cell r="A1029">
            <v>300042400</v>
          </cell>
          <cell r="B1029" t="str">
            <v>QUAKER AVENA GRANOLA 30GX150X1</v>
          </cell>
        </row>
        <row r="1030">
          <cell r="A1030">
            <v>300041898</v>
          </cell>
          <cell r="B1030" t="str">
            <v>CHEETOS CANCHITA CARAMELO 47GX6X6 TIR</v>
          </cell>
        </row>
        <row r="1031">
          <cell r="A1031">
            <v>300042401</v>
          </cell>
          <cell r="B1031" t="str">
            <v>QUAKER AVENA FRUTOS ROJOS 34GX150X1</v>
          </cell>
        </row>
        <row r="1032">
          <cell r="A1032">
            <v>300042402</v>
          </cell>
          <cell r="B1032" t="str">
            <v>QUAKER AVENA CHOCOLATE 34GX150X1</v>
          </cell>
        </row>
        <row r="1033">
          <cell r="A1033">
            <v>300038094</v>
          </cell>
          <cell r="B1033" t="str">
            <v>MARGARITA OND MAYONESA 110GX14X1 GOLD</v>
          </cell>
        </row>
        <row r="1034">
          <cell r="A1034">
            <v>300038065</v>
          </cell>
          <cell r="B1034" t="str">
            <v>MARGARITA OND TOMATE 110GX14X1 GOLD</v>
          </cell>
        </row>
        <row r="1035">
          <cell r="A1035">
            <v>300042567</v>
          </cell>
          <cell r="B1035" t="str">
            <v>CHOKIS CHISPAS 240GX7X1 BOLX24 NAV</v>
          </cell>
        </row>
        <row r="1036">
          <cell r="A1036">
            <v>300038071</v>
          </cell>
          <cell r="B1036" t="str">
            <v>MARGARITA POLLO 250GX9X1 GOLD</v>
          </cell>
        </row>
        <row r="1037">
          <cell r="A1037">
            <v>300038041</v>
          </cell>
          <cell r="B1037" t="str">
            <v>DETODITO 4 LIMON 160GX12X1 GOLD</v>
          </cell>
        </row>
        <row r="1038">
          <cell r="A1038">
            <v>300042457</v>
          </cell>
          <cell r="B1038" t="str">
            <v>NAATU AVEN CHIA LIN AJONJOLI 350GX18X1</v>
          </cell>
        </row>
        <row r="1039">
          <cell r="A1039">
            <v>300042456</v>
          </cell>
          <cell r="B1039" t="str">
            <v>NAATU AVEN CHIA QUINOA ALMEND 350GX18X1</v>
          </cell>
        </row>
        <row r="1040">
          <cell r="A1040">
            <v>300042454</v>
          </cell>
          <cell r="B1040" t="str">
            <v>NAATU AVEN CHIA UVA MAN AJONJ 350GX18X1</v>
          </cell>
        </row>
        <row r="1041">
          <cell r="A1041">
            <v>300041937</v>
          </cell>
          <cell r="B1041" t="str">
            <v>DETODITO DUL&amp;SAL CARAMELO 155GX12X1</v>
          </cell>
        </row>
        <row r="1042">
          <cell r="A1042">
            <v>300042304</v>
          </cell>
          <cell r="B1042" t="str">
            <v>DETODITO DUL&amp;SAL CARAMELO 45GX6X6 IMP</v>
          </cell>
        </row>
        <row r="1043">
          <cell r="A1043">
            <v>300042453</v>
          </cell>
          <cell r="B1043" t="str">
            <v>NAATU GRANOLA ALMENDRAS 350GX16X1</v>
          </cell>
        </row>
        <row r="1044">
          <cell r="A1044">
            <v>300042452</v>
          </cell>
          <cell r="B1044" t="str">
            <v>NAATU GRANOLA PASA ALMENDRAS 350GX16X1</v>
          </cell>
        </row>
        <row r="1045">
          <cell r="A1045">
            <v>300042421</v>
          </cell>
          <cell r="B1045" t="str">
            <v>MANI MOTO LIMON 180GX36X1 SUAVE</v>
          </cell>
        </row>
        <row r="1046">
          <cell r="A1046">
            <v>300042420</v>
          </cell>
          <cell r="B1046" t="str">
            <v>MANI MOTO NATURAL 180GX36X1 SUAVE</v>
          </cell>
        </row>
        <row r="1047">
          <cell r="A1047">
            <v>300041819</v>
          </cell>
          <cell r="B1047" t="str">
            <v>MANI MOTO LIMON 180GX4X6 DISPLAY SUAVE</v>
          </cell>
        </row>
        <row r="1048">
          <cell r="A1048">
            <v>300042014</v>
          </cell>
          <cell r="B1048" t="str">
            <v>MANI MOTO NATURAL 180GX4X6 DISPLAY SUAVE</v>
          </cell>
        </row>
        <row r="1049">
          <cell r="A1049">
            <v>300042297</v>
          </cell>
          <cell r="B1049" t="str">
            <v>MAMUT BLANCO 13GX6X42 DISX42 CP</v>
          </cell>
        </row>
        <row r="1050">
          <cell r="A1050">
            <v>300042675</v>
          </cell>
          <cell r="B1050" t="str">
            <v>SURTIDO ALEGRIA  553GX3X1</v>
          </cell>
        </row>
        <row r="1051">
          <cell r="A1051">
            <v>300039284</v>
          </cell>
          <cell r="B1051" t="str">
            <v>MARGARITA LIMON 250GX9X1</v>
          </cell>
        </row>
        <row r="1052">
          <cell r="A1052">
            <v>300042296</v>
          </cell>
          <cell r="B1052" t="str">
            <v>MAMUT OSCURO 13GX6X42 DISX42 CP</v>
          </cell>
        </row>
        <row r="1053">
          <cell r="A1053">
            <v>300042287</v>
          </cell>
          <cell r="B1053" t="str">
            <v>CHOKIS SANDW FUDGE SURT 320GX10X1 BX20</v>
          </cell>
        </row>
        <row r="1054">
          <cell r="A1054">
            <v>300042962</v>
          </cell>
          <cell r="B1054" t="str">
            <v>DORITOS MEGAQUESO  213GX13X1 BP</v>
          </cell>
        </row>
        <row r="1055">
          <cell r="A1055">
            <v>300042517</v>
          </cell>
          <cell r="B1055" t="str">
            <v>SUR3X1 PN110G+DTN155G+DQSO185G+PAVER135G</v>
          </cell>
        </row>
        <row r="1056">
          <cell r="A1056">
            <v>300043001</v>
          </cell>
          <cell r="B1056" t="str">
            <v>FRITOLAY MIX ARANDANOS 180GX25X1</v>
          </cell>
        </row>
        <row r="1057">
          <cell r="A1057">
            <v>300042963</v>
          </cell>
          <cell r="B1057" t="str">
            <v>FRITOLAY MIX MEZC NUEC 180GX25X1</v>
          </cell>
        </row>
        <row r="1058">
          <cell r="A1058">
            <v>300040071</v>
          </cell>
          <cell r="B1058" t="str">
            <v>SURT 10X1 CHEETOS MAXI50G+BOLIQ44G</v>
          </cell>
        </row>
        <row r="1059">
          <cell r="A1059">
            <v>300043182</v>
          </cell>
          <cell r="B1059" t="str">
            <v>CHOKIS CHISPAS AREQUIPE 40GX80X1</v>
          </cell>
        </row>
        <row r="1060">
          <cell r="A1060">
            <v>300042013</v>
          </cell>
          <cell r="B1060" t="str">
            <v>SUNBITES MULTICEREAL MIXTO 140GX4X1 BX4</v>
          </cell>
        </row>
        <row r="1061">
          <cell r="A1061">
            <v>300043195</v>
          </cell>
          <cell r="B1061" t="str">
            <v>GALL CHOKIS BLACK 40GX13X6 LS PE</v>
          </cell>
        </row>
        <row r="1062">
          <cell r="A1062">
            <v>300042016</v>
          </cell>
          <cell r="B1062" t="str">
            <v>DORITOS MEGAQUESO 38GX66X1 MAQ</v>
          </cell>
        </row>
        <row r="1063">
          <cell r="A1063">
            <v>300043198</v>
          </cell>
          <cell r="B1063" t="str">
            <v>GALL QUAKER AVENA MAN CA 28GX17X6 PE</v>
          </cell>
        </row>
        <row r="1064">
          <cell r="A1064">
            <v>300043397</v>
          </cell>
          <cell r="B1064" t="str">
            <v>GALL QUAKER AVENA PASAS 28GX17X6 PE</v>
          </cell>
        </row>
        <row r="1065">
          <cell r="A1065">
            <v>300043199</v>
          </cell>
          <cell r="B1065" t="str">
            <v>GALL QUAKER AVENA GRANOL 28GX17X6 PE</v>
          </cell>
        </row>
        <row r="1066">
          <cell r="A1066">
            <v>300042012</v>
          </cell>
          <cell r="B1066" t="str">
            <v>CHOCLITOS LIMON 27GX112X1 MAQ</v>
          </cell>
        </row>
        <row r="1067">
          <cell r="A1067">
            <v>300043548</v>
          </cell>
          <cell r="B1067" t="str">
            <v>QUAKER ALMENDRAS 30GX17X6 SIN </v>
          </cell>
        </row>
        <row r="1068">
          <cell r="A1068">
            <v>300043617</v>
          </cell>
          <cell r="B1068" t="str">
            <v>QUAKER VAINILLA 30GX17X6 SIN A</v>
          </cell>
        </row>
        <row r="1069">
          <cell r="A1069">
            <v>300043181</v>
          </cell>
          <cell r="B1069" t="str">
            <v>CHOKIS CHISPAS AREQU 40GX15X6 </v>
          </cell>
        </row>
        <row r="1070">
          <cell r="A1070">
            <v>300043564</v>
          </cell>
          <cell r="B1070" t="str">
            <v>DETODITO BBQ 55GX25X1</v>
          </cell>
        </row>
        <row r="1071">
          <cell r="A1071">
            <v>300042416</v>
          </cell>
          <cell r="B1071" t="str">
            <v>DORITOS MQ 4X1 BX10X34G+GTX2 MMOTO40G</v>
          </cell>
        </row>
        <row r="1072">
          <cell r="A1072">
            <v>300043861</v>
          </cell>
          <cell r="B1072" t="str">
            <v>GALL QUAKER AVENA GRANOL 28GX17X6 BO</v>
          </cell>
        </row>
        <row r="1073">
          <cell r="A1073">
            <v>300043860</v>
          </cell>
          <cell r="B1073" t="str">
            <v>GALL QUAKER AVENA MAN CA 28GX17X6 BO</v>
          </cell>
        </row>
        <row r="1074">
          <cell r="A1074">
            <v>300043865</v>
          </cell>
          <cell r="B1074" t="str">
            <v>GALL QUAKER AVENA PASAS 28GX17X6 BO</v>
          </cell>
        </row>
        <row r="1075">
          <cell r="A1075">
            <v>300043562</v>
          </cell>
          <cell r="B1075" t="str">
            <v>MARGARITA POLLO 39GX27X1</v>
          </cell>
        </row>
        <row r="1076">
          <cell r="A1076">
            <v>300043563</v>
          </cell>
          <cell r="B1076" t="str">
            <v>MARGARITA POLLO 39GX27X1 CP</v>
          </cell>
        </row>
        <row r="1077">
          <cell r="A1077">
            <v>300043641</v>
          </cell>
          <cell r="B1077" t="str">
            <v>DETODITO BBQ 55GX4X6 TIRACP</v>
          </cell>
        </row>
        <row r="1078">
          <cell r="A1078">
            <v>300043367</v>
          </cell>
          <cell r="B1078" t="str">
            <v>DETODITO BBQ 55GX4X6 TIRA</v>
          </cell>
        </row>
        <row r="1079">
          <cell r="A1079">
            <v>300043549</v>
          </cell>
          <cell r="B1079" t="str">
            <v>MARGARITA POLLO 39GX4X6 TIRA CP</v>
          </cell>
        </row>
        <row r="1080">
          <cell r="A1080">
            <v>300043642</v>
          </cell>
          <cell r="B1080" t="str">
            <v>MARGARITA POLLO 39GX4X6 TIRA</v>
          </cell>
        </row>
        <row r="1081">
          <cell r="A1081">
            <v>300043561</v>
          </cell>
          <cell r="B1081" t="str">
            <v>MARGARITA LIMON 39GX27X1 CP</v>
          </cell>
        </row>
        <row r="1082">
          <cell r="A1082">
            <v>300043560</v>
          </cell>
          <cell r="B1082" t="str">
            <v>MARGARITA LIMON 39GX27X1</v>
          </cell>
        </row>
        <row r="1083">
          <cell r="A1083">
            <v>300043640</v>
          </cell>
          <cell r="B1083" t="str">
            <v>MARGARITA LIMON 39GX4X6 TIRA CP</v>
          </cell>
        </row>
        <row r="1084">
          <cell r="A1084">
            <v>300043366</v>
          </cell>
          <cell r="B1084" t="str">
            <v>MARGARITA LIMON 39GX4X6 TIRA</v>
          </cell>
        </row>
        <row r="1085">
          <cell r="A1085">
            <v>300042577</v>
          </cell>
          <cell r="B1085" t="str">
            <v>GALL CHOKIS SUAVE BLANCO 13GX12X16 EC</v>
          </cell>
        </row>
        <row r="1086">
          <cell r="A1086">
            <v>300042579</v>
          </cell>
          <cell r="B1086" t="str">
            <v>GALL CHOKIS SUAVE BLANCO 13GX200X1 EC</v>
          </cell>
        </row>
        <row r="1087">
          <cell r="A1087">
            <v>300042564</v>
          </cell>
          <cell r="B1087" t="str">
            <v>GALL CHOKIS SUAVE OSCURO 13GX12X16 EC</v>
          </cell>
        </row>
        <row r="1088">
          <cell r="A1088">
            <v>300042578</v>
          </cell>
          <cell r="B1088" t="str">
            <v>GALL CHOKIS SUAVE OSCURO 13GX200X1 EC</v>
          </cell>
        </row>
        <row r="1089">
          <cell r="A1089">
            <v>300042576</v>
          </cell>
          <cell r="B1089" t="str">
            <v>GALL CHOKIS SUAVE BLANCO 13GX8X24 EC</v>
          </cell>
        </row>
        <row r="1090">
          <cell r="A1090">
            <v>300042680</v>
          </cell>
          <cell r="B1090" t="str">
            <v>GALL CHOKIS SUAVE OSCURO 13GX8X24 EC</v>
          </cell>
        </row>
        <row r="1091">
          <cell r="A1091">
            <v>300043371</v>
          </cell>
          <cell r="B1091" t="str">
            <v>MARGARITA BBQ 30GX5X12 SUB</v>
          </cell>
        </row>
        <row r="1092">
          <cell r="A1092">
            <v>300043370</v>
          </cell>
          <cell r="B1092" t="str">
            <v>MARGARITA NATURAL 30GX5X12 SUB</v>
          </cell>
        </row>
        <row r="1093">
          <cell r="A1093">
            <v>300043358</v>
          </cell>
          <cell r="B1093" t="str">
            <v>MARGARITA POLLO 30GX5X12 SUB</v>
          </cell>
        </row>
        <row r="1094">
          <cell r="A1094">
            <v>300043357</v>
          </cell>
          <cell r="B1094" t="str">
            <v>MARGARITA LIMON 30GX5X12 SUB</v>
          </cell>
        </row>
        <row r="1095">
          <cell r="A1095">
            <v>300043359</v>
          </cell>
          <cell r="B1095" t="str">
            <v>MARGARITA ONDULADA TOM 32GX4X10 BX10 SUB</v>
          </cell>
        </row>
        <row r="1096">
          <cell r="A1096">
            <v>300042450</v>
          </cell>
          <cell r="B1096" t="str">
            <v>DORITOS DIN LIM TAQUERO 42GX8X6 BX6</v>
          </cell>
        </row>
        <row r="1097">
          <cell r="A1097">
            <v>300043196</v>
          </cell>
          <cell r="B1097" t="str">
            <v>GALL CHOKIS CHISPAS 40GX13X6 LS PE</v>
          </cell>
        </row>
        <row r="1098">
          <cell r="A1098">
            <v>300044056</v>
          </cell>
          <cell r="B1098" t="str">
            <v>DETODITO ASADO CRIOLLO 55GX25X1</v>
          </cell>
        </row>
        <row r="1099">
          <cell r="A1099">
            <v>300043951</v>
          </cell>
          <cell r="B1099" t="str">
            <v>DETODITO ASADO CRIOLLO 55GX4X6 TIRA</v>
          </cell>
        </row>
        <row r="1100">
          <cell r="A1100">
            <v>300043484</v>
          </cell>
          <cell r="B1100" t="str">
            <v>QUAKER AVENA MANZ CAN 30GX17X6 NEW</v>
          </cell>
        </row>
        <row r="1101">
          <cell r="A1101">
            <v>300043481</v>
          </cell>
          <cell r="B1101" t="str">
            <v>QUAKER AVENA MANZANA CAN 30GX1X100 NEW</v>
          </cell>
        </row>
        <row r="1102">
          <cell r="A1102">
            <v>300044113</v>
          </cell>
          <cell r="B1102" t="str">
            <v>JACKS MIX MAYONESA 80GX16X1</v>
          </cell>
        </row>
        <row r="1103">
          <cell r="A1103">
            <v>300043485</v>
          </cell>
          <cell r="B1103" t="str">
            <v>QUAKER AVENA PASAS 30GX17X6 NEW</v>
          </cell>
        </row>
        <row r="1104">
          <cell r="A1104">
            <v>300043482</v>
          </cell>
          <cell r="B1104" t="str">
            <v>QUAKER AVENA PASAS 30GX1X100 NEW</v>
          </cell>
        </row>
        <row r="1105">
          <cell r="A1105">
            <v>300044112</v>
          </cell>
          <cell r="B1105" t="str">
            <v>JACKS MIX TOMATE 80GX16X1</v>
          </cell>
        </row>
        <row r="1106">
          <cell r="A1106">
            <v>300043483</v>
          </cell>
          <cell r="B1106" t="str">
            <v>QUAKER AVENA GRANOLA 30GX17X6 NEW</v>
          </cell>
        </row>
        <row r="1107">
          <cell r="A1107">
            <v>300043480</v>
          </cell>
          <cell r="B1107" t="str">
            <v>QUAKER AVENA GRANOLA 30GX1X100 NEW</v>
          </cell>
        </row>
        <row r="1108">
          <cell r="A1108">
            <v>300043614</v>
          </cell>
          <cell r="B1108" t="str">
            <v>QUAKER AVENA GRANOLA 30GX8X12 NEW</v>
          </cell>
        </row>
        <row r="1109">
          <cell r="A1109">
            <v>300043486</v>
          </cell>
          <cell r="B1109" t="str">
            <v>QUAKER AVENA SURT 376GX8X1 BX12 NEW</v>
          </cell>
        </row>
        <row r="1110">
          <cell r="A1110">
            <v>300044401</v>
          </cell>
          <cell r="B1110" t="str">
            <v>JACKS MIX SURTIDO 1280GX1X1</v>
          </cell>
        </row>
        <row r="1111">
          <cell r="A1111">
            <v>300043615</v>
          </cell>
          <cell r="B1111" t="str">
            <v>QUAKER AVENA SURT 620GX6X1 DISPX20 NEW</v>
          </cell>
        </row>
        <row r="1112">
          <cell r="A1112">
            <v>300044241</v>
          </cell>
          <cell r="B1112" t="str">
            <v>MARGARITA NATURAL 105GX14X1</v>
          </cell>
        </row>
        <row r="1113">
          <cell r="A1113">
            <v>300044240</v>
          </cell>
          <cell r="B1113" t="str">
            <v>MARGARITA LIMON 105GX14X1</v>
          </cell>
        </row>
        <row r="1114">
          <cell r="A1114">
            <v>300043947</v>
          </cell>
          <cell r="B1114" t="str">
            <v>DORITOS PARRILLADA 180GX15X1</v>
          </cell>
        </row>
        <row r="1115">
          <cell r="A1115">
            <v>300043948</v>
          </cell>
          <cell r="B1115" t="str">
            <v>DORITOS PARRILLADA 41GX66X1</v>
          </cell>
        </row>
        <row r="1116">
          <cell r="A1116">
            <v>300044242</v>
          </cell>
          <cell r="B1116" t="str">
            <v>MARGARITA POLLO 105GX14X1</v>
          </cell>
        </row>
        <row r="1117">
          <cell r="A1117">
            <v>300044194</v>
          </cell>
          <cell r="B1117" t="str">
            <v>MARGARITA NATURAL 56GX30X1</v>
          </cell>
        </row>
        <row r="1118">
          <cell r="A1118">
            <v>300044629</v>
          </cell>
          <cell r="B1118" t="str">
            <v>DORITOS PARRILLADA 41GX3X5 TIRA</v>
          </cell>
        </row>
        <row r="1119">
          <cell r="A1119">
            <v>300044192</v>
          </cell>
          <cell r="B1119" t="str">
            <v>MARGARITA BBQ 56GX30X1</v>
          </cell>
        </row>
        <row r="1120">
          <cell r="A1120">
            <v>300044195</v>
          </cell>
          <cell r="B1120" t="str">
            <v>MARGARITA POLLO 56GX30X1</v>
          </cell>
        </row>
        <row r="1121">
          <cell r="A1121">
            <v>300044193</v>
          </cell>
          <cell r="B1121" t="str">
            <v>MARGARITA LIMON 56GX30X1</v>
          </cell>
        </row>
        <row r="1122">
          <cell r="A1122">
            <v>300044243</v>
          </cell>
          <cell r="B1122" t="str">
            <v>MARGARITA OND MAYONESA 105GX14X1</v>
          </cell>
        </row>
        <row r="1123">
          <cell r="A1123">
            <v>300043949</v>
          </cell>
          <cell r="B1123" t="str">
            <v>MARGARITA OND TOMATE 105GX14X1</v>
          </cell>
        </row>
        <row r="1124">
          <cell r="A1124">
            <v>300044821</v>
          </cell>
          <cell r="B1124" t="str">
            <v>DETODITO LIMON 55GX25X1 CP</v>
          </cell>
        </row>
        <row r="1125">
          <cell r="A1125">
            <v>300044604</v>
          </cell>
          <cell r="B1125" t="str">
            <v>DETODITO MIX 55GX25X1 CP</v>
          </cell>
        </row>
        <row r="1126">
          <cell r="A1126">
            <v>300044348</v>
          </cell>
          <cell r="B1126" t="str">
            <v>MARGARITA LIMON 56GX6X6</v>
          </cell>
        </row>
        <row r="1127">
          <cell r="A1127">
            <v>300044605</v>
          </cell>
          <cell r="B1127" t="str">
            <v>DETODITO POLLO 55GX25X1 CP</v>
          </cell>
        </row>
        <row r="1128">
          <cell r="A1128">
            <v>300044840</v>
          </cell>
          <cell r="B1128" t="str">
            <v>MARGARITA BRASA ROJA 33GX66X1</v>
          </cell>
        </row>
        <row r="1129">
          <cell r="A1129">
            <v>300044964</v>
          </cell>
          <cell r="B1129" t="str">
            <v>MARGARITA BRASA ROJA 33GX3X5 TIRA</v>
          </cell>
        </row>
        <row r="1130">
          <cell r="A1130">
            <v>300044794</v>
          </cell>
          <cell r="B1130" t="str">
            <v>DETODITO NATURAL 150GX12X1</v>
          </cell>
        </row>
        <row r="1131">
          <cell r="A1131">
            <v>300044795</v>
          </cell>
          <cell r="B1131" t="str">
            <v>DETODITO BBQ 150GX12X1</v>
          </cell>
        </row>
        <row r="1132">
          <cell r="A1132">
            <v>300045024</v>
          </cell>
          <cell r="B1132" t="str">
            <v>DETODITO BBQ 55GX25X1 CP PROM</v>
          </cell>
        </row>
        <row r="1133">
          <cell r="A1133">
            <v>300045027</v>
          </cell>
          <cell r="B1133" t="str">
            <v>DETODITO MIX 55GX25X1 CP PROM</v>
          </cell>
        </row>
        <row r="1134">
          <cell r="A1134">
            <v>300045025</v>
          </cell>
          <cell r="B1134" t="str">
            <v>DETODITO NATURAL 55GX25X1 CP PROM</v>
          </cell>
        </row>
        <row r="1135">
          <cell r="A1135">
            <v>300044754</v>
          </cell>
          <cell r="B1135" t="str">
            <v>DETODITO NATURAL 65GX18X1 CP</v>
          </cell>
        </row>
        <row r="1136">
          <cell r="A1136">
            <v>300044796</v>
          </cell>
          <cell r="B1136" t="str">
            <v>DETODITO MIX 150GX12X1</v>
          </cell>
        </row>
        <row r="1137">
          <cell r="A1137">
            <v>300044797</v>
          </cell>
          <cell r="B1137" t="str">
            <v>DETODITO LIMON 150GX12X1</v>
          </cell>
        </row>
        <row r="1138">
          <cell r="A1138">
            <v>300045160</v>
          </cell>
          <cell r="B1138" t="str">
            <v>DETODITO LIMON 55GX25X1 CP PROM</v>
          </cell>
        </row>
        <row r="1139">
          <cell r="A1139">
            <v>300044752</v>
          </cell>
          <cell r="B1139" t="str">
            <v>DETODITO BBQ 65GX18X1 CP</v>
          </cell>
        </row>
        <row r="1140">
          <cell r="A1140">
            <v>300044753</v>
          </cell>
          <cell r="B1140" t="str">
            <v>DETODITO MIX 65GX18X1 CP</v>
          </cell>
        </row>
        <row r="1141">
          <cell r="A1141">
            <v>300044792</v>
          </cell>
          <cell r="B1141" t="str">
            <v>DETODITO MIX 65GX18X1</v>
          </cell>
        </row>
        <row r="1142">
          <cell r="A1142">
            <v>300044460</v>
          </cell>
          <cell r="B1142" t="str">
            <v>DORITOS MEGAQUESO  43GX66X1 CP</v>
          </cell>
        </row>
        <row r="1143">
          <cell r="A1143">
            <v>300045029</v>
          </cell>
          <cell r="B1143" t="str">
            <v>DETODITO POLLO 55GX25X1 CP PROM</v>
          </cell>
        </row>
        <row r="1144">
          <cell r="A1144">
            <v>300044566</v>
          </cell>
          <cell r="B1144" t="str">
            <v>DETODITO POLLO 65GX18X1 CP</v>
          </cell>
        </row>
        <row r="1145">
          <cell r="A1145">
            <v>300040072</v>
          </cell>
          <cell r="B1145" t="str">
            <v>SURT 12X1 BOLIQ44G+CHEESETRIS93G</v>
          </cell>
        </row>
        <row r="1146">
          <cell r="A1146">
            <v>300044811</v>
          </cell>
          <cell r="B1146" t="str">
            <v>DETODITO BBQ 65GX18X1</v>
          </cell>
        </row>
        <row r="1147">
          <cell r="A1147">
            <v>300045042</v>
          </cell>
          <cell r="B1147" t="str">
            <v>DETODITO ASADO CRIOLLO 55GX4X6 TIRA PROM</v>
          </cell>
        </row>
        <row r="1148">
          <cell r="A1148">
            <v>300044793</v>
          </cell>
          <cell r="B1148" t="str">
            <v>DETODITO NATURAL 65GX18X1</v>
          </cell>
        </row>
        <row r="1149">
          <cell r="A1149">
            <v>300044197</v>
          </cell>
          <cell r="B1149" t="str">
            <v>DORITOS MEGAQUESO  68GX25X1</v>
          </cell>
        </row>
        <row r="1150">
          <cell r="A1150">
            <v>300044461</v>
          </cell>
          <cell r="B1150" t="str">
            <v>DORITOS MEGAQUESO 34GX66X1 SP</v>
          </cell>
        </row>
        <row r="1151">
          <cell r="A1151">
            <v>300044673</v>
          </cell>
          <cell r="B1151" t="str">
            <v>DETODITO CRIOLLO 65GX18X1 CP</v>
          </cell>
        </row>
        <row r="1152">
          <cell r="A1152">
            <v>300045026</v>
          </cell>
          <cell r="B1152" t="str">
            <v>DETODITO ASADO CRIOLLO 55GX25X1 PROM</v>
          </cell>
        </row>
        <row r="1153">
          <cell r="A1153">
            <v>300045193</v>
          </cell>
          <cell r="B1153" t="str">
            <v>CHOCLITOS PICANTE 46GX44X1</v>
          </cell>
        </row>
        <row r="1154">
          <cell r="A1154">
            <v>300044402</v>
          </cell>
          <cell r="B1154" t="str">
            <v>CRONCH ROSQUITAS  19GX66X1</v>
          </cell>
        </row>
        <row r="1155">
          <cell r="A1155">
            <v>300044492</v>
          </cell>
          <cell r="B1155" t="str">
            <v>CRONCH ROSQUITAS  19GX5X12 BX12 IMP</v>
          </cell>
        </row>
        <row r="1156">
          <cell r="A1156">
            <v>300045053</v>
          </cell>
          <cell r="B1156" t="str">
            <v>SURTIDO ALEGRIA 541GX3X1 BX22</v>
          </cell>
        </row>
        <row r="1157">
          <cell r="A1157">
            <v>300045197</v>
          </cell>
          <cell r="B1157" t="str">
            <v>CHOCLITOS PICANTE 46GX3X6 TIRA</v>
          </cell>
        </row>
        <row r="1158">
          <cell r="A1158">
            <v>300044196</v>
          </cell>
          <cell r="B1158" t="str">
            <v>CHOKIS CHISPAS AREQUIPE 40GX15X6 IMP</v>
          </cell>
        </row>
        <row r="1159">
          <cell r="A1159">
            <v>300045131</v>
          </cell>
          <cell r="B1159" t="str">
            <v>SURTIDO SUPER LONCHERA 266GX7X1 BX12</v>
          </cell>
        </row>
        <row r="1160">
          <cell r="A1160">
            <v>300045058</v>
          </cell>
          <cell r="B1160" t="str">
            <v>SURTIDO LONCHERA FAVORITA 324GX5X1 BX12</v>
          </cell>
        </row>
        <row r="1161">
          <cell r="A1161">
            <v>300045132</v>
          </cell>
          <cell r="B1161" t="str">
            <v>SURTIDO MEGA LONCHERA 558GX3X1 BX24</v>
          </cell>
        </row>
        <row r="1162">
          <cell r="A1162">
            <v>300045057</v>
          </cell>
          <cell r="B1162" t="str">
            <v>MARGARITA ONDULADA MAYONESA 53GX30X1</v>
          </cell>
        </row>
        <row r="1163">
          <cell r="A1163">
            <v>300045056</v>
          </cell>
          <cell r="B1163" t="str">
            <v>MARGARITA ONDULADA TOMATE 53GX30X1</v>
          </cell>
        </row>
        <row r="1164">
          <cell r="A1164">
            <v>300045054</v>
          </cell>
          <cell r="B1164" t="str">
            <v>SURTIDO HIPER LONCHERA 770GX2X1 BX30</v>
          </cell>
        </row>
        <row r="1165">
          <cell r="A1165">
            <v>300045055</v>
          </cell>
          <cell r="B1165" t="str">
            <v>SURTIDO ULTRA LONCHERA 1359GX1X1 BX50</v>
          </cell>
        </row>
        <row r="1166">
          <cell r="A1166">
            <v>300044493</v>
          </cell>
          <cell r="B1166" t="str">
            <v>MANI MOTO NATURAL 150GX25X1</v>
          </cell>
        </row>
        <row r="1167">
          <cell r="A1167">
            <v>300045083</v>
          </cell>
          <cell r="B1167" t="str">
            <v>DETODITO BBQ 45GX30X1 CP</v>
          </cell>
        </row>
        <row r="1168">
          <cell r="A1168">
            <v>300044349</v>
          </cell>
          <cell r="B1168" t="str">
            <v>MARGARITA POLLO 56GX6X6</v>
          </cell>
        </row>
        <row r="1169">
          <cell r="A1169">
            <v>300045550</v>
          </cell>
          <cell r="B1169" t="str">
            <v>CHEETOS TRISSITOS PICANTE 43GX36X1 PA CP</v>
          </cell>
        </row>
        <row r="1170">
          <cell r="A1170">
            <v>300045651</v>
          </cell>
          <cell r="B1170" t="str">
            <v>SURT MEGA LONCHERA 558GX3X1 BX24 PR ESP</v>
          </cell>
        </row>
        <row r="1171">
          <cell r="A1171">
            <v>300045552</v>
          </cell>
          <cell r="B1171" t="str">
            <v>CHEETOS NATURAL 48GX36X1 CP</v>
          </cell>
        </row>
        <row r="1172">
          <cell r="A1172">
            <v>300045534</v>
          </cell>
          <cell r="B1172" t="str">
            <v>CHEETOS BOLI QUESO 42GX24X1 CP</v>
          </cell>
        </row>
        <row r="1173">
          <cell r="A1173">
            <v>300045004</v>
          </cell>
          <cell r="B1173" t="str">
            <v>JACKS MIX SURTIDO 80GX16X1</v>
          </cell>
        </row>
        <row r="1174">
          <cell r="A1174">
            <v>300045219</v>
          </cell>
          <cell r="B1174" t="str">
            <v>CRONCH ROSQUITAS QUESO 19GX5X12</v>
          </cell>
        </row>
        <row r="1175">
          <cell r="A1175">
            <v>300045521</v>
          </cell>
          <cell r="B1175" t="str">
            <v>DETODITO BRASA ROJA 55GX25X1</v>
          </cell>
        </row>
        <row r="1176">
          <cell r="A1176">
            <v>300045772</v>
          </cell>
          <cell r="B1176" t="str">
            <v>DETODITO BRASA ROJA 55GX4X6 TIRA</v>
          </cell>
        </row>
        <row r="1177">
          <cell r="A1177">
            <v>300045522</v>
          </cell>
          <cell r="B1177" t="str">
            <v>DORITOS BBQ 41GX66X1</v>
          </cell>
        </row>
        <row r="1178">
          <cell r="A1178">
            <v>300045771</v>
          </cell>
          <cell r="B1178" t="str">
            <v>DORITOS BBQ 41GX5X5 TIRA</v>
          </cell>
        </row>
        <row r="1179">
          <cell r="A1179">
            <v>300045533</v>
          </cell>
          <cell r="B1179" t="str">
            <v>CHEETOS BOLI QUESO 42GX24X1</v>
          </cell>
        </row>
        <row r="1180">
          <cell r="A1180">
            <v>300045359</v>
          </cell>
          <cell r="B1180" t="str">
            <v>CHEETOS TRISSITOS PICANTE 43GX36X1 PACA</v>
          </cell>
        </row>
        <row r="1181">
          <cell r="A1181">
            <v>300045551</v>
          </cell>
          <cell r="B1181" t="str">
            <v>CHEETOS NATURAL 48GX36X1</v>
          </cell>
        </row>
        <row r="1182">
          <cell r="A1182">
            <v>300045613</v>
          </cell>
          <cell r="B1182" t="str">
            <v>SURT HIPER LONCHERA 770GX2X1BX30 PR ESP</v>
          </cell>
        </row>
        <row r="1183">
          <cell r="A1183">
            <v>300045756</v>
          </cell>
          <cell r="B1183" t="str">
            <v>MARGARITA BRASA ROJA 105GX14X1</v>
          </cell>
        </row>
        <row r="1184">
          <cell r="A1184">
            <v>300045684</v>
          </cell>
          <cell r="B1184" t="str">
            <v>DETODITO BBQ 400GX6X1</v>
          </cell>
        </row>
        <row r="1185">
          <cell r="A1185">
            <v>300045962</v>
          </cell>
          <cell r="B1185" t="str">
            <v>DETODITO MIX 55GX25X1 CP2</v>
          </cell>
        </row>
        <row r="1186">
          <cell r="A1186">
            <v>300045961</v>
          </cell>
          <cell r="B1186" t="str">
            <v>DETODITO LIMON 55GX25X1 CP2</v>
          </cell>
        </row>
        <row r="1187">
          <cell r="A1187">
            <v>300045678</v>
          </cell>
          <cell r="B1187" t="str">
            <v>DETODITO BBQ 250GX8X1</v>
          </cell>
        </row>
        <row r="1188">
          <cell r="A1188">
            <v>300040057</v>
          </cell>
          <cell r="B1188" t="str">
            <v>CHOKIS 7X1 BX6CHISP40G+BX12SANDWCHOCS38G</v>
          </cell>
        </row>
        <row r="1189">
          <cell r="A1189">
            <v>300045964</v>
          </cell>
          <cell r="B1189" t="str">
            <v>DETODITO POLLO 55GX25X1 CP2</v>
          </cell>
        </row>
        <row r="1190">
          <cell r="A1190">
            <v>300045954</v>
          </cell>
          <cell r="B1190" t="str">
            <v>SURT DTDNAT150G + DORMQ185G 6X1 PREC ESP</v>
          </cell>
        </row>
        <row r="1191">
          <cell r="A1191">
            <v>300045896</v>
          </cell>
          <cell r="B1191" t="str">
            <v>DETODITO CRIOLLO 150GX12X1</v>
          </cell>
        </row>
        <row r="1192">
          <cell r="A1192">
            <v>300046371</v>
          </cell>
          <cell r="B1192" t="str">
            <v>SURT 8X1 CHEETOS 48G+TRISSI 43G PR ESP</v>
          </cell>
        </row>
        <row r="1193">
          <cell r="A1193">
            <v>300046190</v>
          </cell>
          <cell r="B1193" t="str">
            <v>SURT DTDNAT 250G+DORMQ185G 5X1 PREC ESP</v>
          </cell>
        </row>
        <row r="1194">
          <cell r="A1194">
            <v>300046547</v>
          </cell>
          <cell r="B1194" t="str">
            <v>MARGARITA LIMON 39GX30X1 CP2</v>
          </cell>
        </row>
        <row r="1195">
          <cell r="A1195">
            <v>300046548</v>
          </cell>
          <cell r="B1195" t="str">
            <v>MARGARITA POLLO 39GX30X1 CP2</v>
          </cell>
        </row>
        <row r="1196">
          <cell r="A1196">
            <v>300046549</v>
          </cell>
          <cell r="B1196" t="str">
            <v>MARGARITA BBQ 39GX30X1 CP2</v>
          </cell>
        </row>
        <row r="1197">
          <cell r="A1197">
            <v>300046514</v>
          </cell>
          <cell r="B1197" t="str">
            <v>MARGARITA NATURAL 39GX30X1 CP2</v>
          </cell>
        </row>
        <row r="1198">
          <cell r="A1198">
            <v>300046546</v>
          </cell>
          <cell r="B1198" t="str">
            <v>MARGARITA ONDULADA TOMATE 37GX30X1</v>
          </cell>
        </row>
        <row r="1199">
          <cell r="A1199">
            <v>300046545</v>
          </cell>
          <cell r="B1199" t="str">
            <v>MARGARITA ONDULADA MAYONESA 37GX30X1</v>
          </cell>
        </row>
        <row r="1200">
          <cell r="A1200">
            <v>300045633</v>
          </cell>
          <cell r="B1200" t="str">
            <v>MANI MOTO MIXES LIMON 65GX48X1</v>
          </cell>
        </row>
        <row r="1201">
          <cell r="A1201">
            <v>300045632</v>
          </cell>
          <cell r="B1201" t="str">
            <v>MANI MOTO MIXES LIMON 145GX30X1</v>
          </cell>
        </row>
        <row r="1202">
          <cell r="A1202">
            <v>300045634</v>
          </cell>
          <cell r="B1202" t="str">
            <v>MANI MOTO MIXES CHOCOLATE 145GX30X1</v>
          </cell>
        </row>
        <row r="1203">
          <cell r="A1203">
            <v>300045635</v>
          </cell>
          <cell r="B1203" t="str">
            <v>MANI MOTO MIXES CHOCOLATE 65GX48X1</v>
          </cell>
        </row>
        <row r="1204">
          <cell r="A1204">
            <v>300046871</v>
          </cell>
          <cell r="B1204" t="str">
            <v>MANI MOTO MIXES LIMON 65GX6X9 DISP</v>
          </cell>
        </row>
        <row r="1205">
          <cell r="A1205">
            <v>300046872</v>
          </cell>
          <cell r="B1205" t="str">
            <v>MANI MOTO MIXES LIMON 145GX4X6 DISP</v>
          </cell>
        </row>
        <row r="1206">
          <cell r="A1206">
            <v>300046873</v>
          </cell>
          <cell r="B1206" t="str">
            <v>MANI MOTO MIXES CHOCOLATE 65GX6X9 DISP</v>
          </cell>
        </row>
        <row r="1207">
          <cell r="A1207">
            <v>300046761</v>
          </cell>
          <cell r="B1207" t="str">
            <v>MANI MOTO MIXES CHOCOLATE 145GX4X6 DISP</v>
          </cell>
        </row>
        <row r="1208">
          <cell r="A1208">
            <v>300045930</v>
          </cell>
          <cell r="B1208" t="str">
            <v>CHOCLITOS LIMON 230GX15X1</v>
          </cell>
        </row>
        <row r="1209">
          <cell r="A1209">
            <v>300046908</v>
          </cell>
          <cell r="B1209" t="str">
            <v>MANI MOTO MIXES SURTIDO 585GX6X1 DISP</v>
          </cell>
        </row>
        <row r="1210">
          <cell r="A1210">
            <v>300046191</v>
          </cell>
          <cell r="B1210" t="str">
            <v>DTDNAT 150G+DTDBBQ150G  6X1 PREC ESP</v>
          </cell>
        </row>
        <row r="1211">
          <cell r="A1211">
            <v>300045940</v>
          </cell>
          <cell r="B1211" t="str">
            <v>DORITOS MEGAQUESO 185GX16X1</v>
          </cell>
        </row>
        <row r="1212">
          <cell r="A1212">
            <v>300045002</v>
          </cell>
          <cell r="B1212" t="str">
            <v>DORITOS MEGAQUESO  68GX27X1</v>
          </cell>
        </row>
        <row r="1213">
          <cell r="A1213">
            <v>300046129</v>
          </cell>
          <cell r="B1213" t="str">
            <v>SURT DTDBBQ 250G+DORMQ185G 5X1 PREC ESP</v>
          </cell>
        </row>
        <row r="1214">
          <cell r="A1214">
            <v>300045760</v>
          </cell>
          <cell r="B1214" t="str">
            <v>CRONCH QUESO 2X1 BX12X2 19G</v>
          </cell>
        </row>
        <row r="1215">
          <cell r="A1215">
            <v>300046945</v>
          </cell>
          <cell r="B1215" t="str">
            <v>NATUCHIPS TORTILLA ZANAHORIA 40GX36X1</v>
          </cell>
        </row>
        <row r="1216">
          <cell r="A1216">
            <v>300046944</v>
          </cell>
          <cell r="B1216" t="str">
            <v>NATUCHIPS TORTILLA ZANAHORIA 140GX16X1</v>
          </cell>
        </row>
        <row r="1217">
          <cell r="A1217">
            <v>300046942</v>
          </cell>
          <cell r="B1217" t="str">
            <v>NATUCHIPS TORTILLA ESPINACA 40GX36X1</v>
          </cell>
        </row>
        <row r="1218">
          <cell r="A1218">
            <v>300046943</v>
          </cell>
          <cell r="B1218" t="str">
            <v>NATUCHIPS TORTILLA ESPINACA 140GX16X1</v>
          </cell>
        </row>
        <row r="1219">
          <cell r="A1219">
            <v>300047213</v>
          </cell>
          <cell r="B1219" t="str">
            <v>NATUCHIPS TORTILLA ESPINACA 40GX6X6 IMP</v>
          </cell>
        </row>
        <row r="1220">
          <cell r="A1220">
            <v>300047212</v>
          </cell>
          <cell r="B1220" t="str">
            <v>NATUCHIPS TORTILLA ZANAHORIA 40GX6X6 IMP</v>
          </cell>
        </row>
        <row r="1221">
          <cell r="A1221">
            <v>300047057</v>
          </cell>
          <cell r="B1221" t="str">
            <v>DETODITO LIMON 50GX25X1 CP</v>
          </cell>
        </row>
        <row r="1222">
          <cell r="A1222">
            <v>300046787</v>
          </cell>
          <cell r="B1222" t="str">
            <v>DETODITO BBQ 50GX25X1 CP2</v>
          </cell>
        </row>
        <row r="1223">
          <cell r="A1223">
            <v>300046786</v>
          </cell>
          <cell r="B1223" t="str">
            <v>DETODITO BBQ 50GX25X1 CP</v>
          </cell>
        </row>
        <row r="1224">
          <cell r="A1224">
            <v>300047206</v>
          </cell>
          <cell r="B1224" t="str">
            <v>DETODITO MIX 50GX25X1 CP2</v>
          </cell>
        </row>
        <row r="1225">
          <cell r="A1225">
            <v>300046751</v>
          </cell>
          <cell r="B1225" t="str">
            <v>DORITOS MEGAQUESO  41GX70X1</v>
          </cell>
        </row>
        <row r="1226">
          <cell r="A1226">
            <v>300046752</v>
          </cell>
          <cell r="B1226" t="str">
            <v>DORITOS MEGAQUESO 180GX24X1</v>
          </cell>
        </row>
        <row r="1227">
          <cell r="A1227">
            <v>300047180</v>
          </cell>
          <cell r="B1227" t="str">
            <v>DETODITO POLLO 50GX25X1 CP</v>
          </cell>
        </row>
        <row r="1228">
          <cell r="A1228">
            <v>300047208</v>
          </cell>
          <cell r="B1228" t="str">
            <v>DETODITO CRIOLLO 50GX25X1</v>
          </cell>
        </row>
        <row r="1229">
          <cell r="A1229">
            <v>300046788</v>
          </cell>
          <cell r="B1229" t="str">
            <v>DETODITO NATURAL 50GX25X1 CP</v>
          </cell>
        </row>
        <row r="1230">
          <cell r="A1230">
            <v>300047058</v>
          </cell>
          <cell r="B1230" t="str">
            <v>DETODITO LIMON 50GX25X1 CP2</v>
          </cell>
        </row>
        <row r="1231">
          <cell r="A1231">
            <v>300047205</v>
          </cell>
          <cell r="B1231" t="str">
            <v>DETODITO MIX 50GX25X1 CP</v>
          </cell>
        </row>
        <row r="1232">
          <cell r="A1232">
            <v>300046789</v>
          </cell>
          <cell r="B1232" t="str">
            <v>DETODITO NATURAL 50GX25X1 CP2</v>
          </cell>
        </row>
        <row r="1233">
          <cell r="A1233">
            <v>300047181</v>
          </cell>
          <cell r="B1233" t="str">
            <v>DETODITO POLLO 50GX25X1 CP2</v>
          </cell>
        </row>
        <row r="1234">
          <cell r="A1234">
            <v>300039244</v>
          </cell>
          <cell r="B1234" t="str">
            <v>CHEETOS BOLI QUESO 20GX72X1</v>
          </cell>
        </row>
        <row r="1235">
          <cell r="A1235">
            <v>300047691</v>
          </cell>
          <cell r="B1235" t="str">
            <v>SURTIDO LONCHERA ECONO  261GX7X1</v>
          </cell>
        </row>
        <row r="1236">
          <cell r="A1236">
            <v>300047590</v>
          </cell>
          <cell r="B1236" t="str">
            <v>CHOCLITOS PICANTE 190GX15X1</v>
          </cell>
        </row>
        <row r="1237">
          <cell r="A1237">
            <v>300047046</v>
          </cell>
          <cell r="B1237" t="str">
            <v>MARGARIT 315GX3X1 (NAT+POL+LIM)105G+BOWL</v>
          </cell>
        </row>
        <row r="1238">
          <cell r="A1238">
            <v>300043616</v>
          </cell>
          <cell r="B1238" t="str">
            <v>QUAKER VAINILLA 30GX1X100 SIN AZUCAR</v>
          </cell>
        </row>
        <row r="1239">
          <cell r="A1239">
            <v>300047049</v>
          </cell>
          <cell r="B1239" t="str">
            <v>DORITOS SWEETCHILLI 175GX15X1</v>
          </cell>
        </row>
        <row r="1240">
          <cell r="A1240">
            <v>300047301</v>
          </cell>
          <cell r="B1240" t="str">
            <v>DORITOS SWEETCHILLI 41GX5X4 TIRA</v>
          </cell>
        </row>
        <row r="1241">
          <cell r="A1241">
            <v>300047048</v>
          </cell>
          <cell r="B1241" t="str">
            <v>DORITOS SWEETCHILLI 41GX66X1</v>
          </cell>
        </row>
        <row r="1242">
          <cell r="A1242">
            <v>300047047</v>
          </cell>
          <cell r="B1242" t="str">
            <v>DORITOS SWEETCHILLI 34GX66X1</v>
          </cell>
        </row>
        <row r="1243">
          <cell r="A1243">
            <v>300047796</v>
          </cell>
          <cell r="B1243" t="str">
            <v>CHOKIS CHISPAS 40GX3X18 DISX18 PREC ESP</v>
          </cell>
        </row>
        <row r="1244">
          <cell r="A1244">
            <v>300047568</v>
          </cell>
          <cell r="B1244" t="str">
            <v>DORITOS MEGAQUESO  175GX16X1</v>
          </cell>
        </row>
        <row r="1245">
          <cell r="A1245">
            <v>300047801</v>
          </cell>
          <cell r="B1245" t="str">
            <v>SURTIDO LONCHERA D1  261GX7X1</v>
          </cell>
        </row>
        <row r="1246">
          <cell r="A1246">
            <v>300042563</v>
          </cell>
          <cell r="B1246" t="str">
            <v>MAMUT BLANCO 13GX1X200 CP</v>
          </cell>
        </row>
        <row r="1247">
          <cell r="A1247">
            <v>300042562</v>
          </cell>
          <cell r="B1247" t="str">
            <v>MAMUT OSCURO 13GX1X200 CP</v>
          </cell>
        </row>
        <row r="1248">
          <cell r="A1248">
            <v>300046414</v>
          </cell>
          <cell r="B1248" t="str">
            <v>JACKS ROSQUITAS CRONCH QUES 19GX5X12 IMP</v>
          </cell>
        </row>
        <row r="1249">
          <cell r="A1249">
            <v>300047702</v>
          </cell>
          <cell r="B1249" t="str">
            <v>NATUCHIPS PLATANO MADURO 38GX5X12</v>
          </cell>
        </row>
        <row r="1250">
          <cell r="A1250">
            <v>300047564</v>
          </cell>
          <cell r="B1250" t="str">
            <v>NATUCHIPS PLATANO MADURO 38GX72X1</v>
          </cell>
        </row>
        <row r="1251">
          <cell r="A1251">
            <v>300049966</v>
          </cell>
          <cell r="B1251" t="str">
            <v>CHOCLITOS LIMON 45GX6X12 BOL TRANSP</v>
          </cell>
        </row>
        <row r="1252">
          <cell r="A1252">
            <v>300049845</v>
          </cell>
          <cell r="B1252" t="str">
            <v>CHOCLITOS LIMON 45GX44X1</v>
          </cell>
        </row>
        <row r="1253">
          <cell r="A1253">
            <v>300046415</v>
          </cell>
          <cell r="B1253" t="str">
            <v>JACKS ROSQUITAS CRONCH QUESO 19GX5X12</v>
          </cell>
        </row>
        <row r="1254">
          <cell r="A1254">
            <v>300046416</v>
          </cell>
          <cell r="B1254" t="str">
            <v>JACKS ROSQUITAS CRONCH QUESO 19GX66X1</v>
          </cell>
        </row>
        <row r="1255">
          <cell r="A1255">
            <v>300043547</v>
          </cell>
          <cell r="B1255" t="str">
            <v>QUAKER ALMENDRAS 30GX1X100 SIN AZUCAR</v>
          </cell>
        </row>
        <row r="1256">
          <cell r="A1256">
            <v>300048084</v>
          </cell>
          <cell r="B1256" t="str">
            <v>Margarita Flaming Hot 36Gx30x1</v>
          </cell>
        </row>
        <row r="1257">
          <cell r="A1257">
            <v>300048083</v>
          </cell>
          <cell r="B1257" t="str">
            <v>Margarita Flaming Hot 105Gx15x1</v>
          </cell>
        </row>
        <row r="1258">
          <cell r="A1258">
            <v>300048082</v>
          </cell>
          <cell r="B1258" t="str">
            <v>Doritos Flaming Hot 41Gx66x1</v>
          </cell>
        </row>
        <row r="1259">
          <cell r="A1259">
            <v>300048081</v>
          </cell>
          <cell r="B1259" t="str">
            <v>Doritos Flaming Hot 175Gx15x1</v>
          </cell>
        </row>
        <row r="1260">
          <cell r="A1260">
            <v>300047759</v>
          </cell>
          <cell r="B1260" t="str">
            <v>Cheetos Flaming Hot 37Gx72x1</v>
          </cell>
        </row>
        <row r="1261">
          <cell r="A1261">
            <v>300048080</v>
          </cell>
          <cell r="B1261" t="str">
            <v>Cheetos Flaming Hot 75Gx34x1</v>
          </cell>
        </row>
        <row r="1262">
          <cell r="A1262">
            <v>300049965</v>
          </cell>
          <cell r="B1262" t="str">
            <v>JACKS ROSQUITAS CRONCHQUE456G 2X1 BX12X2</v>
          </cell>
        </row>
        <row r="1263">
          <cell r="A1263">
            <v>300049911</v>
          </cell>
          <cell r="B1263" t="str">
            <v>MANI MOTO NATURAL 80GX6X9 DISPX9</v>
          </cell>
        </row>
        <row r="1264">
          <cell r="A1264">
            <v>300050326</v>
          </cell>
          <cell r="B1264" t="str">
            <v>MANI MOTO NATURAL 48GX14X12 DISPX12 CP</v>
          </cell>
        </row>
        <row r="1265">
          <cell r="A1265">
            <v>300049878</v>
          </cell>
          <cell r="B1265" t="str">
            <v>MANI MOTO NATURAL 48GX12X12 BOLSA TRANS</v>
          </cell>
        </row>
        <row r="1266">
          <cell r="A1266">
            <v>300049910</v>
          </cell>
          <cell r="B1266" t="str">
            <v>MANI MOTO NATURAL 48GX14X12 DISPX12</v>
          </cell>
        </row>
        <row r="1267">
          <cell r="A1267">
            <v>300049879</v>
          </cell>
          <cell r="B1267" t="str">
            <v>MANI MOTO NATURAL 48GX12X12 BX12 IMP</v>
          </cell>
        </row>
        <row r="1268">
          <cell r="A1268">
            <v>300050325</v>
          </cell>
          <cell r="B1268" t="str">
            <v>MANI MOTO LIMON 46GX14X12 DISPX12 CP</v>
          </cell>
        </row>
        <row r="1269">
          <cell r="A1269">
            <v>300049877</v>
          </cell>
          <cell r="B1269" t="str">
            <v>MANI MOTO LIMON 46GX14X12 DISPX12</v>
          </cell>
        </row>
        <row r="1270">
          <cell r="A1270">
            <v>300050324</v>
          </cell>
          <cell r="B1270" t="str">
            <v>MANI MOTO INFERNO FIRE 42GX14X12 DX12 CP</v>
          </cell>
        </row>
        <row r="1271">
          <cell r="A1271">
            <v>300049876</v>
          </cell>
          <cell r="B1271" t="str">
            <v>MANI MOTO INFERNO FIREB 42GX14X12 DISX12</v>
          </cell>
        </row>
        <row r="1272">
          <cell r="A1272">
            <v>300050033</v>
          </cell>
          <cell r="B1272" t="str">
            <v>SURTIDO FLAMIN HOT 232GX4X1 TIRA</v>
          </cell>
        </row>
        <row r="1273">
          <cell r="A1273">
            <v>300042824</v>
          </cell>
          <cell r="B1273" t="str">
            <v>CHEESE TRIS QUESO 45GX72X1 CP</v>
          </cell>
        </row>
        <row r="1274">
          <cell r="A1274">
            <v>300050323</v>
          </cell>
          <cell r="B1274" t="str">
            <v>CHOKIS MINIS CHISPAS  32GX7X9  IMP</v>
          </cell>
        </row>
        <row r="1275">
          <cell r="A1275">
            <v>300039755</v>
          </cell>
          <cell r="B1275" t="str">
            <v>DORITOS MEGAQUESO 320GX9X1</v>
          </cell>
        </row>
        <row r="1276">
          <cell r="A1276">
            <v>300048034</v>
          </cell>
          <cell r="B1276" t="str">
            <v>MARGARITA LIMON 105GX15X1</v>
          </cell>
        </row>
        <row r="1277">
          <cell r="A1277">
            <v>300048036</v>
          </cell>
          <cell r="B1277" t="str">
            <v>MARGARITA NATURAL 105GX15X1</v>
          </cell>
        </row>
        <row r="1278">
          <cell r="A1278">
            <v>300048038</v>
          </cell>
          <cell r="B1278" t="str">
            <v>MARGARITA OND MAYONESA 105GX15X1</v>
          </cell>
        </row>
        <row r="1279">
          <cell r="A1279">
            <v>300048039</v>
          </cell>
          <cell r="B1279" t="str">
            <v>MARGARITA OND TOMATE 105GX15X1</v>
          </cell>
        </row>
        <row r="1280">
          <cell r="A1280">
            <v>300048142</v>
          </cell>
          <cell r="B1280" t="str">
            <v>MARGARITA POLLO 105GX15X1</v>
          </cell>
        </row>
        <row r="1281">
          <cell r="A1281">
            <v>300048085</v>
          </cell>
          <cell r="B1281" t="str">
            <v>CHEETOS NATURAL 48GX20X1</v>
          </cell>
        </row>
        <row r="1282">
          <cell r="A1282">
            <v>300050565</v>
          </cell>
          <cell r="B1282" t="str">
            <v>DTD NATURAL 172GX9X1</v>
          </cell>
        </row>
        <row r="1283">
          <cell r="A1283">
            <v>300050564</v>
          </cell>
          <cell r="B1283" t="str">
            <v>DTD BBQ 172GX9X1</v>
          </cell>
        </row>
        <row r="1284">
          <cell r="A1284">
            <v>300050566</v>
          </cell>
          <cell r="B1284" t="str">
            <v>MARGARITA LIMON 120GX15X1</v>
          </cell>
        </row>
        <row r="1285">
          <cell r="A1285">
            <v>300050752</v>
          </cell>
          <cell r="B1285" t="str">
            <v>MANI MOTO NATURAL 370GX10X1</v>
          </cell>
        </row>
        <row r="1286">
          <cell r="A1286">
            <v>300050536</v>
          </cell>
          <cell r="B1286" t="str">
            <v>MANI MOTO LIMON 170GX25X1</v>
          </cell>
        </row>
        <row r="1287">
          <cell r="A1287">
            <v>300050537</v>
          </cell>
          <cell r="B1287" t="str">
            <v>MANI MOTO NATURAL 180GX25X1</v>
          </cell>
        </row>
        <row r="1288">
          <cell r="A1288">
            <v>300050567</v>
          </cell>
          <cell r="B1288" t="str">
            <v>MARGARITA POLLO 120GX15X1</v>
          </cell>
        </row>
        <row r="1289">
          <cell r="A1289">
            <v>300047572</v>
          </cell>
          <cell r="B1289" t="str">
            <v>DTD 800G 2X1 DTDNAT400GR + DTDBBQ400GR</v>
          </cell>
        </row>
        <row r="1290">
          <cell r="A1290">
            <v>300047662</v>
          </cell>
          <cell r="B1290" t="str">
            <v>NATUCHIPS PLATANO VERDE 38GX5X12</v>
          </cell>
        </row>
        <row r="1291">
          <cell r="A1291">
            <v>300047663</v>
          </cell>
          <cell r="B1291" t="str">
            <v>NATUCHIPS PLATANO VERDE 38GX72X1</v>
          </cell>
        </row>
        <row r="1292">
          <cell r="A1292">
            <v>300047664</v>
          </cell>
          <cell r="B1292" t="str">
            <v>NATUCHIPS PLATANO VERDE 38GX72X1 CP</v>
          </cell>
        </row>
        <row r="1293">
          <cell r="A1293">
            <v>300050534</v>
          </cell>
          <cell r="B1293" t="str">
            <v>FRITO LAY MANÍ UVA PASAS 400GR</v>
          </cell>
        </row>
        <row r="1294">
          <cell r="A1294">
            <v>300051220</v>
          </cell>
          <cell r="B1294" t="str">
            <v>MANI MOTO NK CON PASAS 36GX10X12</v>
          </cell>
        </row>
        <row r="1295">
          <cell r="A1295">
            <v>300051221</v>
          </cell>
          <cell r="B1295" t="str">
            <v>MANI MOTO NK CON PASAS 36GX10X12 CP</v>
          </cell>
        </row>
        <row r="1296">
          <cell r="A1296">
            <v>300051222</v>
          </cell>
          <cell r="B1296" t="str">
            <v>MANI MOTO NK SAL 23GX12X18</v>
          </cell>
        </row>
        <row r="1297">
          <cell r="A1297">
            <v>300051223</v>
          </cell>
          <cell r="B1297" t="str">
            <v>MANI MOTO NK SAL 36GX10X12</v>
          </cell>
        </row>
        <row r="1298">
          <cell r="A1298">
            <v>300051224</v>
          </cell>
          <cell r="B1298" t="str">
            <v>MANI MOTO NK SAL 36GX10X12 CP</v>
          </cell>
        </row>
        <row r="1299">
          <cell r="A1299">
            <v>300050535</v>
          </cell>
          <cell r="B1299" t="str">
            <v>FRITO LAY MANÍ SAL 400GR</v>
          </cell>
        </row>
        <row r="1300">
          <cell r="A1300">
            <v>300046750</v>
          </cell>
          <cell r="B1300" t="str">
            <v>JACKS PALITOS NATURAL 34GX12X12</v>
          </cell>
        </row>
        <row r="1301">
          <cell r="A1301">
            <v>300050740</v>
          </cell>
          <cell r="B1301" t="str">
            <v>CHOKIS CHISPAS CHOCOBASE 47GX15X6</v>
          </cell>
        </row>
        <row r="1302">
          <cell r="A1302">
            <v>300050538</v>
          </cell>
          <cell r="B1302" t="str">
            <v>CHOKIS CHISPAS 37GX15X6</v>
          </cell>
        </row>
        <row r="1303">
          <cell r="A1303">
            <v>300050786</v>
          </cell>
          <cell r="B1303" t="str">
            <v>MANI MOTO NK SAL LIM 40GX120X1</v>
          </cell>
        </row>
        <row r="1304">
          <cell r="A1304">
            <v>300051120</v>
          </cell>
          <cell r="B1304" t="str">
            <v>MANI MOTO NK SAL LIM 40GX120X1 CP</v>
          </cell>
        </row>
        <row r="1305">
          <cell r="A1305">
            <v>300050901</v>
          </cell>
          <cell r="B1305" t="str">
            <v>MANI NK PICANTE LIMON CP 40GX120X1</v>
          </cell>
        </row>
        <row r="1306">
          <cell r="A1306">
            <v>300050789</v>
          </cell>
          <cell r="B1306" t="str">
            <v>MANI MOTO NK PIC LIM 40GX10X12 DISPX12</v>
          </cell>
        </row>
        <row r="1307">
          <cell r="A1307">
            <v>300050787</v>
          </cell>
          <cell r="B1307" t="str">
            <v>MANI MOTO NK SAL LIM 40GX10X12 DISPX12</v>
          </cell>
        </row>
        <row r="1308">
          <cell r="A1308">
            <v>300050788</v>
          </cell>
          <cell r="B1308" t="str">
            <v>MANI MOTO NK PIC LIM 170GX25X1</v>
          </cell>
        </row>
        <row r="1309">
          <cell r="A1309">
            <v>300050871</v>
          </cell>
          <cell r="B1309" t="str">
            <v>MANI MOTO SC SAL LIM 170GX25X1</v>
          </cell>
        </row>
        <row r="1310">
          <cell r="A1310">
            <v>300051170</v>
          </cell>
          <cell r="B1310" t="str">
            <v>MANI MOTO NK SURTIDO 480GX10X1 DISP</v>
          </cell>
        </row>
        <row r="1311">
          <cell r="A1311">
            <v>300050900</v>
          </cell>
          <cell r="B1311" t="str">
            <v>MANI MOTO NK PIC LIM 40GX120X1</v>
          </cell>
        </row>
        <row r="1312">
          <cell r="A1312">
            <v>300052191</v>
          </cell>
          <cell r="B1312" t="str">
            <v>MARGARITA NATURAL 39GX30X1 CP</v>
          </cell>
        </row>
        <row r="1313">
          <cell r="A1313">
            <v>300052192</v>
          </cell>
          <cell r="B1313" t="str">
            <v>MARGARITA BBQ 39GX30X1 CP</v>
          </cell>
        </row>
        <row r="1314">
          <cell r="A1314">
            <v>300047808</v>
          </cell>
          <cell r="B1314" t="str">
            <v>MARGARITA LIMON 39GX30X1 CP</v>
          </cell>
        </row>
        <row r="1315">
          <cell r="A1315">
            <v>300049833</v>
          </cell>
          <cell r="B1315" t="str">
            <v>MARGARITA POLLO 39GX30X1 CP</v>
          </cell>
        </row>
        <row r="1316">
          <cell r="A1316">
            <v>300043863</v>
          </cell>
          <cell r="B1316" t="str">
            <v>GALL QUAKER AVENA MAN CA 28GX1X100 BO</v>
          </cell>
        </row>
        <row r="1317">
          <cell r="A1317">
            <v>300043862</v>
          </cell>
          <cell r="B1317" t="str">
            <v>GALL QUAKER AVENA PASAS 28GX1X100 BO</v>
          </cell>
        </row>
        <row r="1318">
          <cell r="A1318">
            <v>300046013</v>
          </cell>
          <cell r="B1318" t="str">
            <v>CHOCLITOS PICANTE 46GX44X1 CP</v>
          </cell>
        </row>
        <row r="1319">
          <cell r="A1319">
            <v>300050780</v>
          </cell>
          <cell r="B1319" t="str">
            <v>CHOKIS CHISPAS 37GX3X18 DISX18</v>
          </cell>
        </row>
        <row r="1320">
          <cell r="A1320">
            <v>300053024</v>
          </cell>
          <cell r="B1320" t="str">
            <v>MARGARITA LIMON 130GX15X1</v>
          </cell>
        </row>
        <row r="1321">
          <cell r="A1321">
            <v>300053023</v>
          </cell>
          <cell r="B1321" t="str">
            <v>MARGARITA NATURAL 130GX15X1</v>
          </cell>
        </row>
        <row r="1322">
          <cell r="A1322">
            <v>300053022</v>
          </cell>
          <cell r="B1322" t="str">
            <v>MARGARITA POLLO 130GX15X1</v>
          </cell>
        </row>
        <row r="1323">
          <cell r="A1323">
            <v>300053021</v>
          </cell>
          <cell r="B1323" t="str">
            <v>MARGARITA ONDULADA MAYONESA 130GX15X1</v>
          </cell>
        </row>
        <row r="1324">
          <cell r="A1324">
            <v>300053020</v>
          </cell>
          <cell r="B1324" t="str">
            <v>MARGARITA ONDULADA TOMATE 130GX15X1</v>
          </cell>
        </row>
        <row r="1325">
          <cell r="A1325">
            <v>300053434</v>
          </cell>
          <cell r="B1325" t="str">
            <v>DETODITO MIX 85GX18X1 CP</v>
          </cell>
        </row>
        <row r="1326">
          <cell r="A1326">
            <v>300053119</v>
          </cell>
          <cell r="B1326" t="str">
            <v>MARGARITA CREMA CEBOLLA 36GX30X1</v>
          </cell>
        </row>
        <row r="1327">
          <cell r="A1327">
            <v>300053118</v>
          </cell>
          <cell r="B1327" t="str">
            <v>MARGARITA CREMA CEBOLLA 110GX15X1</v>
          </cell>
        </row>
        <row r="1328">
          <cell r="A1328">
            <v>300053116</v>
          </cell>
          <cell r="B1328" t="str">
            <v>MARGARITA ASADO CRIOLLO  36GX30X1</v>
          </cell>
        </row>
        <row r="1329">
          <cell r="A1329">
            <v>300053117</v>
          </cell>
          <cell r="B1329" t="str">
            <v>MARGARITA ASADO CRIOLLO 110GX15X1</v>
          </cell>
        </row>
        <row r="1330">
          <cell r="A1330">
            <v>300053435</v>
          </cell>
          <cell r="B1330" t="str">
            <v>DETODITO BBQ 85GX18X1</v>
          </cell>
        </row>
        <row r="1331">
          <cell r="A1331">
            <v>300053436</v>
          </cell>
          <cell r="B1331" t="str">
            <v>DETODITO BBQ 85GX18X1 CP</v>
          </cell>
        </row>
        <row r="1332">
          <cell r="A1332">
            <v>300053440</v>
          </cell>
          <cell r="B1332" t="str">
            <v>DETODITO NATURAL 85GX18X1 CO</v>
          </cell>
        </row>
        <row r="1333">
          <cell r="A1333">
            <v>300053438</v>
          </cell>
          <cell r="B1333" t="str">
            <v>DETODITO NATURAL 85GX18X1 CP CO</v>
          </cell>
        </row>
        <row r="1334">
          <cell r="A1334">
            <v>300053395</v>
          </cell>
          <cell r="B1334" t="str">
            <v>SURT MARGARITA ASAD CEBOLL 216X4X1 TIRA</v>
          </cell>
        </row>
        <row r="1335">
          <cell r="A1335">
            <v>300053313</v>
          </cell>
          <cell r="B1335" t="str">
            <v>DETODITO BBQ 50GX30X1 CP2 CO</v>
          </cell>
        </row>
        <row r="1336">
          <cell r="A1336">
            <v>300053315</v>
          </cell>
          <cell r="B1336" t="str">
            <v>DETODITO NATURAL 50GX30X1 CP2 CO</v>
          </cell>
        </row>
        <row r="1337">
          <cell r="A1337">
            <v>300053316</v>
          </cell>
          <cell r="B1337" t="str">
            <v>DETODITO LIMON 50GX30X1 CP CO</v>
          </cell>
        </row>
        <row r="1338">
          <cell r="A1338">
            <v>300053317</v>
          </cell>
          <cell r="B1338" t="str">
            <v>DETODITO LIMON 50GX30X1 CP2 CO</v>
          </cell>
        </row>
        <row r="1339">
          <cell r="A1339">
            <v>300053318</v>
          </cell>
          <cell r="B1339" t="str">
            <v>DETODITO MIX 50GX30X1 CP CO</v>
          </cell>
        </row>
        <row r="1340">
          <cell r="A1340">
            <v>300053319</v>
          </cell>
          <cell r="B1340" t="str">
            <v>DETODITO MIX 50GX30X1 CP2 CO</v>
          </cell>
        </row>
        <row r="1341">
          <cell r="A1341">
            <v>300053370</v>
          </cell>
          <cell r="B1341" t="str">
            <v>DETODITO POLLO 50GX30X1 CP CO</v>
          </cell>
        </row>
        <row r="1342">
          <cell r="A1342">
            <v>300053371</v>
          </cell>
          <cell r="B1342" t="str">
            <v>DETODITO POLLO 50GX30X1 CP2 CO</v>
          </cell>
        </row>
        <row r="1343">
          <cell r="A1343">
            <v>300053372</v>
          </cell>
          <cell r="B1343" t="str">
            <v>DETODITO CRIOLLO 50GX30X1 CO</v>
          </cell>
        </row>
        <row r="1344">
          <cell r="A1344">
            <v>300047207</v>
          </cell>
          <cell r="B1344" t="str">
            <v>DETODITO CRIOLLO 50GX4X6 TIRA</v>
          </cell>
        </row>
        <row r="1345">
          <cell r="A1345">
            <v>300053620</v>
          </cell>
          <cell r="B1345" t="str">
            <v>CHEETOS NATURAL 44GX40X1 CP</v>
          </cell>
        </row>
        <row r="1346">
          <cell r="A1346">
            <v>300053622</v>
          </cell>
          <cell r="B1346" t="str">
            <v>CHEETOS TRISSITOS PICANTE 39X40X1 PA CP</v>
          </cell>
        </row>
        <row r="1347">
          <cell r="A1347">
            <v>300053621</v>
          </cell>
          <cell r="B1347" t="str">
            <v>CHEETOS TRISSITOS PICANTE 39GX40X1 PACA</v>
          </cell>
        </row>
        <row r="1348">
          <cell r="A1348">
            <v>300053598</v>
          </cell>
          <cell r="B1348" t="str">
            <v>CHEETOS BOLI QUESO 38GX24X1 PM</v>
          </cell>
        </row>
        <row r="1349">
          <cell r="A1349">
            <v>300053597</v>
          </cell>
          <cell r="B1349" t="str">
            <v>CHEETOS BOLI QUESO 38GX24X1</v>
          </cell>
        </row>
        <row r="1350">
          <cell r="A1350">
            <v>300053599</v>
          </cell>
          <cell r="B1350" t="str">
            <v>CHEETOS NATURAL 44GX40X1</v>
          </cell>
        </row>
        <row r="1351">
          <cell r="A1351">
            <v>300053393</v>
          </cell>
          <cell r="B1351" t="str">
            <v>FRITOLAY MIX MEZC NUEC 170GX25X1</v>
          </cell>
        </row>
        <row r="1352">
          <cell r="A1352">
            <v>300053561</v>
          </cell>
          <cell r="B1352" t="str">
            <v>DORITOS MEGAQUESO 200GX15X1</v>
          </cell>
        </row>
        <row r="1353">
          <cell r="A1353">
            <v>300053405</v>
          </cell>
          <cell r="B1353" t="str">
            <v>CHEETOS NATURAL 44GX20X1</v>
          </cell>
        </row>
        <row r="1354">
          <cell r="A1354">
            <v>300053131</v>
          </cell>
          <cell r="B1354" t="str">
            <v>CHOKIS CHISPAS 57GX60X1</v>
          </cell>
        </row>
        <row r="1355">
          <cell r="A1355">
            <v>300050959</v>
          </cell>
          <cell r="B1355" t="str">
            <v>CHOKIS CHISPAS 37GX16X6 PER</v>
          </cell>
        </row>
        <row r="1356">
          <cell r="A1356">
            <v>300053753</v>
          </cell>
          <cell r="B1356" t="str">
            <v>CHOKIS CHISPAS 37GX16X6 BO</v>
          </cell>
        </row>
        <row r="1357">
          <cell r="A1357">
            <v>300054071</v>
          </cell>
          <cell r="B1357" t="str">
            <v>SURTIDO 500GX6X1 DORIT320G GT MMOTO180G</v>
          </cell>
        </row>
        <row r="1358">
          <cell r="A1358">
            <v>300054073</v>
          </cell>
          <cell r="B1358" t="str">
            <v>SURT DTDNAT 150 GR+DORMQ200 GR+MARGNAT130GR</v>
          </cell>
        </row>
        <row r="1359">
          <cell r="A1359">
            <v>300053312</v>
          </cell>
          <cell r="B1359" t="str">
            <v>DETODITO BBQ 50GX30X1 CP CO</v>
          </cell>
        </row>
        <row r="1360">
          <cell r="A1360">
            <v>300053314</v>
          </cell>
          <cell r="B1360" t="str">
            <v>DETODITO NATURAL 50GX30X1 CP CO</v>
          </cell>
        </row>
        <row r="1361">
          <cell r="A1361">
            <v>300053782</v>
          </cell>
          <cell r="B1361" t="str">
            <v>CHEESE TRIS QUESO 80GX34X1</v>
          </cell>
        </row>
        <row r="1362">
          <cell r="A1362">
            <v>300053785</v>
          </cell>
          <cell r="B1362" t="str">
            <v>CHEESE TRIS QUESO 42GX12X6 SEXTA</v>
          </cell>
        </row>
        <row r="1363">
          <cell r="A1363">
            <v>300053783</v>
          </cell>
          <cell r="B1363" t="str">
            <v>CHEESE TRIS QUESO 42GX6X12</v>
          </cell>
        </row>
        <row r="1364">
          <cell r="A1364">
            <v>300053784</v>
          </cell>
          <cell r="B1364" t="str">
            <v>CHEESE TRIS QUESO 42GX6X12 CP</v>
          </cell>
        </row>
        <row r="1365">
          <cell r="A1365">
            <v>300053695</v>
          </cell>
          <cell r="B1365" t="str">
            <v>CHEESE TRIS QUESO 42GX72X1 CP</v>
          </cell>
        </row>
        <row r="1366">
          <cell r="A1366">
            <v>300053786</v>
          </cell>
          <cell r="B1366" t="str">
            <v>CHEESE TRIS 42GX72X1</v>
          </cell>
        </row>
        <row r="1367">
          <cell r="A1367">
            <v>300049832</v>
          </cell>
          <cell r="B1367" t="str">
            <v>MARGARITA POLLO 30GX60X1</v>
          </cell>
        </row>
        <row r="1368">
          <cell r="A1368">
            <v>300053684</v>
          </cell>
          <cell r="B1368" t="str">
            <v>MARGARITA NATURAL 65GX24X1</v>
          </cell>
        </row>
        <row r="1369">
          <cell r="A1369">
            <v>300053439</v>
          </cell>
          <cell r="B1369" t="str">
            <v>DETODITO BBQ 250GX8X1 CO</v>
          </cell>
        </row>
        <row r="1370">
          <cell r="A1370">
            <v>300053778</v>
          </cell>
          <cell r="B1370" t="str">
            <v>DETODITO BBQ 290GX7X1</v>
          </cell>
        </row>
        <row r="1371">
          <cell r="A1371">
            <v>300053779</v>
          </cell>
          <cell r="B1371" t="str">
            <v>DETODITO NATURAL 290GX7X1</v>
          </cell>
        </row>
        <row r="1372">
          <cell r="A1372">
            <v>300054491</v>
          </cell>
          <cell r="B1372" t="str">
            <v>MARGARITA POLLO 65GX6X6</v>
          </cell>
        </row>
        <row r="1373">
          <cell r="A1373">
            <v>300053683</v>
          </cell>
          <cell r="B1373" t="str">
            <v>MARGARITA POLLO 65GX24X1</v>
          </cell>
        </row>
        <row r="1374">
          <cell r="A1374">
            <v>300053685</v>
          </cell>
          <cell r="B1374" t="str">
            <v>MARGARITA LIMON 65GX24X1</v>
          </cell>
        </row>
        <row r="1375">
          <cell r="A1375">
            <v>300054492</v>
          </cell>
          <cell r="B1375" t="str">
            <v>MARGARITA LIMON 65GX6X6</v>
          </cell>
        </row>
        <row r="1376">
          <cell r="A1376">
            <v>300053562</v>
          </cell>
          <cell r="B1376" t="str">
            <v>FRITOLAY MIX MEZC NUEC 370GX10X1</v>
          </cell>
        </row>
        <row r="1377">
          <cell r="A1377">
            <v>300053608</v>
          </cell>
          <cell r="B1377" t="str">
            <v>FRITOLAY MIX MEZC NUEC 40GX10X12 DISPX12</v>
          </cell>
        </row>
        <row r="1378">
          <cell r="A1378">
            <v>300054341</v>
          </cell>
          <cell r="B1378" t="str">
            <v xml:space="preserve">GALL QUAKER AVEN MAN CA 28GX17X6 PE </v>
          </cell>
        </row>
        <row r="1379">
          <cell r="A1379">
            <v>300054343</v>
          </cell>
          <cell r="B1379" t="str">
            <v>GALL QUAKER AVENA PASAS 28GX17X6 PE</v>
          </cell>
        </row>
        <row r="1380">
          <cell r="A1380">
            <v>300054342</v>
          </cell>
          <cell r="B1380" t="str">
            <v>GALL QUAKER AVENA GRANOL 28GX17X6 PE</v>
          </cell>
        </row>
        <row r="1381">
          <cell r="A1381">
            <v>300054072</v>
          </cell>
          <cell r="B1381" t="str">
            <v>SURT 459GX2X1 CHEE260G GTBOL160G TRIS39G</v>
          </cell>
        </row>
        <row r="1382">
          <cell r="A1382">
            <v>300054040</v>
          </cell>
          <cell r="B1382" t="str">
            <v>CHOKIS CHISPAS 57GX9X7 DISX7 TROQ</v>
          </cell>
        </row>
        <row r="1383">
          <cell r="A1383">
            <v>300054345</v>
          </cell>
          <cell r="B1383" t="str">
            <v>SURTIDO HIPER LONCHERA 764GX2X1 BX30</v>
          </cell>
        </row>
        <row r="1384">
          <cell r="A1384">
            <v>300054346</v>
          </cell>
          <cell r="B1384" t="str">
            <v>SURTIDO ALEGRIA  538GX3X1 BX22</v>
          </cell>
        </row>
        <row r="1385">
          <cell r="A1385">
            <v>300054025</v>
          </cell>
          <cell r="B1385" t="str">
            <v>MMOTO NK SAL PASAS 36GX10X12 SP DISPX12</v>
          </cell>
        </row>
        <row r="1386">
          <cell r="A1386">
            <v>300054026</v>
          </cell>
          <cell r="B1386" t="str">
            <v>MMOTO NK SAL PASAS 36GX10X12 CP DISPX12</v>
          </cell>
        </row>
        <row r="1387">
          <cell r="A1387">
            <v>300054027</v>
          </cell>
          <cell r="B1387" t="str">
            <v>MMOTO NK PASAS CH 30GX12X12 SP DISPX12</v>
          </cell>
        </row>
        <row r="1388">
          <cell r="A1388">
            <v>300054344</v>
          </cell>
          <cell r="B1388" t="str">
            <v>SURTIDO ULTRA LONCHERA 1335GX1X1 BX50</v>
          </cell>
        </row>
        <row r="1389">
          <cell r="A1389">
            <v>300054531</v>
          </cell>
          <cell r="B1389" t="str">
            <v>GAMESA NAVIDAD MANTEQUILLA 300GX12X1</v>
          </cell>
        </row>
        <row r="1390">
          <cell r="A1390">
            <v>300053757</v>
          </cell>
          <cell r="B1390" t="str">
            <v>CHOKIS CHISPAS 399GX9X1 DISPX7</v>
          </cell>
        </row>
        <row r="1391">
          <cell r="A1391">
            <v>300054100</v>
          </cell>
          <cell r="B1391" t="str">
            <v>MARGARITA REC CLAS NAT 250GX9X1</v>
          </cell>
        </row>
        <row r="1392">
          <cell r="A1392">
            <v>300054062</v>
          </cell>
          <cell r="B1392" t="str">
            <v>MARGARITA REC CLAS ALITAS BBQ 250GX9X1</v>
          </cell>
        </row>
        <row r="1393">
          <cell r="A1393">
            <v>300052704</v>
          </cell>
          <cell r="B1393" t="str">
            <v>CHOKIS CHISPAS 444GX6X1 2BX6X37G</v>
          </cell>
        </row>
        <row r="1394">
          <cell r="A1394">
            <v>300054079</v>
          </cell>
          <cell r="B1394" t="str">
            <v>LAYS ARTESANA SAL DE MAR 110GX16 EXP CHL</v>
          </cell>
        </row>
        <row r="1395">
          <cell r="A1395">
            <v>300054480</v>
          </cell>
          <cell r="B1395" t="str">
            <v>CHOKIS CHISPAS CHAROLA 370GX12X1</v>
          </cell>
        </row>
        <row r="1396">
          <cell r="A1396">
            <v>300054078</v>
          </cell>
          <cell r="B1396" t="str">
            <v>LAYS ARTESANAS SAL DE MAR 185GX9 EXP CHL</v>
          </cell>
        </row>
        <row r="1397">
          <cell r="A1397">
            <v>300055027</v>
          </cell>
          <cell r="B1397" t="str">
            <v>SURT MGT528GX3X1 DCNAT300G SEXRCSAL228G</v>
          </cell>
        </row>
        <row r="1398">
          <cell r="A1398">
            <v>300055028</v>
          </cell>
          <cell r="B1398" t="str">
            <v>SURT MGT528GX3X1 DCPOL300G SEXRCBBQ228G</v>
          </cell>
        </row>
        <row r="1399">
          <cell r="A1399">
            <v>300055026</v>
          </cell>
          <cell r="B1399" t="str">
            <v xml:space="preserve">SURT MGT528GX3X1 DCLIM300G SEXRCL&amp;P228G </v>
          </cell>
        </row>
        <row r="1400">
          <cell r="A1400">
            <v>300054633</v>
          </cell>
          <cell r="B1400" t="str">
            <v>CHOKIS NAVIDAD FUDGE BLANCO 16GX15X18</v>
          </cell>
        </row>
        <row r="1401">
          <cell r="A1401">
            <v>300054632</v>
          </cell>
          <cell r="B1401" t="str">
            <v>CHOKIS NAVIDAD FUDGE OSCURO 16GX15X18</v>
          </cell>
        </row>
        <row r="1402">
          <cell r="A1402">
            <v>300054871</v>
          </cell>
          <cell r="B1402" t="str">
            <v>CHOKIS SAND FUDGE BLAN 16GX9X16 NAV CAR</v>
          </cell>
        </row>
        <row r="1403">
          <cell r="A1403">
            <v>300054870</v>
          </cell>
          <cell r="B1403" t="str">
            <v>CHOKIS SAND FUDGE OSC 16GX9X16 NAV CAR</v>
          </cell>
        </row>
        <row r="1404">
          <cell r="A1404">
            <v>300054131</v>
          </cell>
          <cell r="B1404" t="str">
            <v>MANI MOTO FH EXP COL 3375GRX1X1</v>
          </cell>
        </row>
        <row r="1405">
          <cell r="A1405">
            <v>300054132</v>
          </cell>
          <cell r="B1405" t="str">
            <v>MANI MOTO FH EXP COL 5400GRX1X1</v>
          </cell>
        </row>
        <row r="1406">
          <cell r="A1406">
            <v>300054133</v>
          </cell>
          <cell r="B1406" t="str">
            <v>MANI MOTO QUE EXP COL 3375GRX1X1</v>
          </cell>
        </row>
        <row r="1407">
          <cell r="A1407">
            <v>300054134</v>
          </cell>
          <cell r="B1407" t="str">
            <v>MANI MOTO QUE EXP COL 5400GRX1X1</v>
          </cell>
        </row>
        <row r="1408">
          <cell r="A1408">
            <v>300054556</v>
          </cell>
          <cell r="B1408" t="str">
            <v>MANI MOTO FLAMIN HOT 150GRX36X1</v>
          </cell>
        </row>
        <row r="1409">
          <cell r="A1409">
            <v>300054557</v>
          </cell>
          <cell r="B1409" t="str">
            <v>MANI MOTO FLAMIN HOT 45GRX75X1</v>
          </cell>
        </row>
        <row r="1410">
          <cell r="A1410">
            <v>300054555</v>
          </cell>
          <cell r="B1410" t="str">
            <v>MANI MOTO QUESO 150GRX36X1</v>
          </cell>
        </row>
        <row r="1411">
          <cell r="A1411">
            <v>300054554</v>
          </cell>
          <cell r="B1411" t="str">
            <v>MANI MOTO QUESO 45GRX75X1</v>
          </cell>
        </row>
        <row r="1412">
          <cell r="A1412">
            <v>300054604</v>
          </cell>
          <cell r="B1412" t="str">
            <v>CHOKIS NAVIDAD CLAS 222GX7X1 BOLX24 COL</v>
          </cell>
        </row>
        <row r="1413">
          <cell r="A1413">
            <v>300054427</v>
          </cell>
          <cell r="B1413" t="str">
            <v>CHEESE TRIS QUESO 150X18X1</v>
          </cell>
        </row>
        <row r="1414">
          <cell r="A1414">
            <v>300054550</v>
          </cell>
          <cell r="B1414" t="str">
            <v>LAYS ARTESANAS SAL MARINA 135GX15</v>
          </cell>
        </row>
        <row r="1415">
          <cell r="A1415">
            <v>300054552</v>
          </cell>
          <cell r="B1415" t="str">
            <v>LAYS ARTESANAS ALITA BBQ 130GX15</v>
          </cell>
        </row>
        <row r="1416">
          <cell r="A1416">
            <v>300055240</v>
          </cell>
          <cell r="B1416" t="str">
            <v>DETODITO FLAMING HOT 140GX12X1</v>
          </cell>
        </row>
        <row r="1417">
          <cell r="A1417">
            <v>300055241</v>
          </cell>
          <cell r="B1417" t="str">
            <v>DETODITO FLAMING HOT 50GX30X1 COL</v>
          </cell>
        </row>
        <row r="1418">
          <cell r="A1418">
            <v>300055255</v>
          </cell>
          <cell r="B1418" t="str">
            <v>DETODITO FLAMING HOT 50GX4X6</v>
          </cell>
        </row>
        <row r="1419">
          <cell r="A1419">
            <v>300044778</v>
          </cell>
          <cell r="B1419" t="str">
            <v>DETODITO NATURAL 55GX25X1 CP</v>
          </cell>
        </row>
        <row r="1420">
          <cell r="A1420">
            <v>300043618</v>
          </cell>
          <cell r="B1420" t="str">
            <v>DETODITO BBQ 55GX25X1 CP</v>
          </cell>
        </row>
        <row r="1421">
          <cell r="A1421">
            <v>300045963</v>
          </cell>
          <cell r="B1421" t="str">
            <v>DETODITO NATURAL 55GX25X1 CP2</v>
          </cell>
        </row>
        <row r="1422">
          <cell r="A1422">
            <v>300045960</v>
          </cell>
          <cell r="B1422" t="str">
            <v>DETODITO BBQ 55GX25X1 CP2</v>
          </cell>
        </row>
        <row r="1423">
          <cell r="A1423">
            <v>300054679</v>
          </cell>
          <cell r="B1423" t="str">
            <v>CHOKIS CHISPAS BLACK 37GX15X6</v>
          </cell>
        </row>
        <row r="1424">
          <cell r="A1424">
            <v>300055544</v>
          </cell>
          <cell r="B1424" t="str">
            <v>NATUCHIPS PLATANO MADURO 250GX17 NAV</v>
          </cell>
        </row>
        <row r="1425">
          <cell r="A1425">
            <v>300055545</v>
          </cell>
          <cell r="B1425" t="str">
            <v>NATUCHIPS PLATANO VERDE 250GX17 NAV</v>
          </cell>
        </row>
        <row r="1426">
          <cell r="A1426">
            <v>300055731</v>
          </cell>
          <cell r="B1426" t="str">
            <v>DETODITO NATURAL 75GX18X1 CO</v>
          </cell>
        </row>
        <row r="1427">
          <cell r="A1427">
            <v>300055730</v>
          </cell>
          <cell r="B1427" t="str">
            <v>DETODITO NATURAL 75GX18X1 CP CO</v>
          </cell>
        </row>
        <row r="1428">
          <cell r="A1428">
            <v>300055734</v>
          </cell>
          <cell r="B1428" t="str">
            <v>DETODITO BBQ 75GX18X1 CO</v>
          </cell>
        </row>
        <row r="1429">
          <cell r="A1429">
            <v>300055733</v>
          </cell>
          <cell r="B1429" t="str">
            <v>DETODITO BBQ 75GX18X1 CP CO</v>
          </cell>
        </row>
        <row r="1430">
          <cell r="A1430">
            <v>300055732</v>
          </cell>
          <cell r="B1430" t="str">
            <v>DETODITO MIX 75GX18X1 CP CO</v>
          </cell>
        </row>
        <row r="1431">
          <cell r="A1431">
            <v>300055223</v>
          </cell>
          <cell r="B1431" t="str">
            <v>MARGARITA REC CLAS PIM OLIVA 115GX14X1</v>
          </cell>
        </row>
        <row r="1432">
          <cell r="A1432">
            <v>300055222</v>
          </cell>
          <cell r="B1432" t="str">
            <v>MARGARITA REC CLAS PIM OLIVA 38GX35X1</v>
          </cell>
        </row>
        <row r="1433">
          <cell r="A1433">
            <v>300043864</v>
          </cell>
          <cell r="B1433" t="str">
            <v>GALL QUAKER AVENA GRANOL 28GX1X100 BO</v>
          </cell>
        </row>
        <row r="1434">
          <cell r="A1434">
            <v>300055194</v>
          </cell>
          <cell r="B1434" t="str">
            <v>MARGARITA REC CLA PIM OLIVA 38GX10X6 IMP</v>
          </cell>
        </row>
        <row r="1435">
          <cell r="A1435">
            <v>300056156</v>
          </cell>
          <cell r="B1435" t="str">
            <v>DETODITO BBQ 165GX12X1</v>
          </cell>
        </row>
        <row r="1436">
          <cell r="A1436">
            <v>300056154</v>
          </cell>
          <cell r="B1436" t="str">
            <v>DETODITO MIX 165GX12X1</v>
          </cell>
        </row>
        <row r="1437">
          <cell r="A1437">
            <v>300056153</v>
          </cell>
          <cell r="B1437" t="str">
            <v>DETODITO NATURAL 165GX12X1</v>
          </cell>
        </row>
        <row r="1438">
          <cell r="A1438">
            <v>300056155</v>
          </cell>
          <cell r="B1438" t="str">
            <v>DETODITO LIMON 165GX12X1</v>
          </cell>
        </row>
        <row r="1439">
          <cell r="A1439">
            <v>300056143</v>
          </cell>
          <cell r="B1439" t="str">
            <v>CHOCLITOS LIMON 45GX44X1 RM</v>
          </cell>
        </row>
        <row r="1440">
          <cell r="A1440">
            <v>300056385</v>
          </cell>
          <cell r="B1440" t="str">
            <v>MARGARITA NAT OFER 600GRX2X1 BX12X25G</v>
          </cell>
        </row>
        <row r="1441">
          <cell r="A1441">
            <v>300056060</v>
          </cell>
          <cell r="B1441" t="str">
            <v>MARGARITA POLLO 36GX30X1</v>
          </cell>
        </row>
        <row r="1442">
          <cell r="A1442">
            <v>300056059</v>
          </cell>
          <cell r="B1442" t="str">
            <v>MARGARITA LIMON 36GX30X1</v>
          </cell>
        </row>
        <row r="1443">
          <cell r="A1443">
            <v>300056108</v>
          </cell>
          <cell r="B1443" t="str">
            <v>MARGARITA BBQ 36GX30X1</v>
          </cell>
        </row>
        <row r="1444">
          <cell r="A1444">
            <v>300056089</v>
          </cell>
          <cell r="B1444" t="str">
            <v>MARGARITA ONDULADA TOMATE 35GX30X1</v>
          </cell>
        </row>
        <row r="1445">
          <cell r="A1445">
            <v>300056088</v>
          </cell>
          <cell r="B1445" t="str">
            <v>MARGARITA ONDULADA MAYONESA 35GX30X1</v>
          </cell>
        </row>
        <row r="1446">
          <cell r="A1446">
            <v>300056107</v>
          </cell>
          <cell r="B1446" t="str">
            <v>MARGARITA NATURAL 36GX30X1</v>
          </cell>
        </row>
        <row r="1447">
          <cell r="A1447">
            <v>300056776</v>
          </cell>
          <cell r="B1447" t="str">
            <v>GALL QUAKER AVENA PASAS 28GX17X6 ECU</v>
          </cell>
        </row>
        <row r="1448">
          <cell r="A1448">
            <v>300056125</v>
          </cell>
          <cell r="B1448" t="str">
            <v>DETODITO BBQ 290GX9X1</v>
          </cell>
        </row>
        <row r="1449">
          <cell r="A1449">
            <v>300056121</v>
          </cell>
          <cell r="B1449" t="str">
            <v>DORITOS MEGAQUESO 200GX19X1</v>
          </cell>
        </row>
        <row r="1450">
          <cell r="A1450">
            <v>300056031</v>
          </cell>
          <cell r="B1450" t="str">
            <v>CHEETOS BOLI QUESO 160GX12X1</v>
          </cell>
        </row>
        <row r="1451">
          <cell r="A1451">
            <v>300054112</v>
          </cell>
          <cell r="B1451" t="str">
            <v>CHOKIS CHISPAS 37GX16X6 EC</v>
          </cell>
        </row>
        <row r="1452">
          <cell r="A1452">
            <v>300056033</v>
          </cell>
          <cell r="B1452" t="str">
            <v>DETODITO NATURAL 400GX8X1</v>
          </cell>
        </row>
        <row r="1453">
          <cell r="A1453">
            <v>300055844</v>
          </cell>
          <cell r="B1453" t="str">
            <v>DETODITO BBQ 45GX6X12</v>
          </cell>
        </row>
        <row r="1454">
          <cell r="A1454">
            <v>300056114</v>
          </cell>
          <cell r="B1454" t="str">
            <v>MARGARITA CREMA CEBOLLA 110GX18X1</v>
          </cell>
        </row>
        <row r="1455">
          <cell r="A1455">
            <v>300056022</v>
          </cell>
          <cell r="B1455" t="str">
            <v>DETODITO NATURAL 45GX6X12</v>
          </cell>
        </row>
        <row r="1456">
          <cell r="A1456">
            <v>300056051</v>
          </cell>
          <cell r="B1456" t="str">
            <v>MARGARITA LIMON 250GX10X1</v>
          </cell>
        </row>
        <row r="1457">
          <cell r="A1457">
            <v>300056034</v>
          </cell>
          <cell r="B1457" t="str">
            <v>MARGARITA POLLO 250GX10X1</v>
          </cell>
        </row>
        <row r="1458">
          <cell r="A1458">
            <v>300056044</v>
          </cell>
          <cell r="B1458" t="str">
            <v>MGTA RECCLA NATURAL 38GX12X6 BX6 IMP</v>
          </cell>
        </row>
        <row r="1459">
          <cell r="A1459">
            <v>300056054</v>
          </cell>
          <cell r="B1459" t="str">
            <v>CHEETOS BOLI QUESO 20GX6X12</v>
          </cell>
        </row>
        <row r="1460">
          <cell r="A1460">
            <v>300056774</v>
          </cell>
          <cell r="B1460" t="str">
            <v>GALL QUAKER AVENA GRANOL 28GX17X6 ECU</v>
          </cell>
        </row>
        <row r="1461">
          <cell r="A1461">
            <v>300056775</v>
          </cell>
          <cell r="B1461" t="str">
            <v>GALL QUAKER AVENA MAN CA 28GX17X6 ECU</v>
          </cell>
        </row>
        <row r="1462">
          <cell r="A1462">
            <v>300056126</v>
          </cell>
          <cell r="B1462" t="str">
            <v>DETODITO NATURAL 290GX9X1</v>
          </cell>
        </row>
        <row r="1463">
          <cell r="A1463">
            <v>300056046</v>
          </cell>
          <cell r="B1463" t="str">
            <v>MGTA RECCLA ALITAS BBQ 38GX12X6 BX6 IMP</v>
          </cell>
        </row>
        <row r="1464">
          <cell r="A1464">
            <v>300055849</v>
          </cell>
          <cell r="B1464" t="str">
            <v>CHEETOS NATURAL 15GX8X12 BX12 IMP</v>
          </cell>
        </row>
        <row r="1465">
          <cell r="A1465">
            <v>300056063</v>
          </cell>
          <cell r="B1465" t="str">
            <v>DORITOS MEGAQUESO  43GX76X1 CP</v>
          </cell>
        </row>
        <row r="1466">
          <cell r="A1466">
            <v>300056052</v>
          </cell>
          <cell r="B1466" t="str">
            <v>DORITOS MEGAQUESO 320GX12X1</v>
          </cell>
        </row>
        <row r="1467">
          <cell r="A1467">
            <v>300056461</v>
          </cell>
          <cell r="B1467" t="str">
            <v>MARGARITA REC CLAS ALITAS BBQ 250GX11X1</v>
          </cell>
        </row>
        <row r="1468">
          <cell r="A1468">
            <v>300056462</v>
          </cell>
          <cell r="B1468" t="str">
            <v>MARGARITA REC CLAS NAT 250GX11X1</v>
          </cell>
        </row>
        <row r="1469">
          <cell r="A1469">
            <v>300056076</v>
          </cell>
          <cell r="B1469" t="str">
            <v>DETODITO BBQ 400GX8X1</v>
          </cell>
        </row>
        <row r="1470">
          <cell r="A1470">
            <v>300056020</v>
          </cell>
          <cell r="B1470" t="str">
            <v>MARGARITA POLLO 30GX6X12</v>
          </cell>
        </row>
        <row r="1471">
          <cell r="A1471">
            <v>300056078</v>
          </cell>
          <cell r="B1471" t="str">
            <v>DORITOS MEGAQUESO 185GX18X1</v>
          </cell>
        </row>
        <row r="1472">
          <cell r="A1472">
            <v>300056040</v>
          </cell>
          <cell r="B1472" t="str">
            <v>DORITOS MEGAQUESO 34GX8X10 IMP</v>
          </cell>
        </row>
        <row r="1473">
          <cell r="A1473">
            <v>300056563</v>
          </cell>
          <cell r="B1473" t="str">
            <v>MARGARITA NATURAL 36GX70X1</v>
          </cell>
        </row>
        <row r="1474">
          <cell r="A1474">
            <v>300056409</v>
          </cell>
          <cell r="B1474" t="str">
            <v>MARGARITA NATURAL 30GX72X1</v>
          </cell>
        </row>
        <row r="1475">
          <cell r="A1475">
            <v>300056488</v>
          </cell>
          <cell r="B1475" t="str">
            <v>MARGARITA ONDULADA MAYONESA 35GX72X1</v>
          </cell>
        </row>
        <row r="1476">
          <cell r="A1476">
            <v>300057015</v>
          </cell>
          <cell r="B1476" t="str">
            <v>MARGARITA REC CLA PIM OLIVA 38GX12X6 IMP</v>
          </cell>
        </row>
        <row r="1477">
          <cell r="A1477">
            <v>300056135</v>
          </cell>
          <cell r="B1477" t="str">
            <v>MARGARITA REC CLAS PIM OLIVA 115GX20X1</v>
          </cell>
        </row>
        <row r="1478">
          <cell r="A1478">
            <v>300056077</v>
          </cell>
          <cell r="B1478" t="str">
            <v>CHOCLITOS LIMON 230GX19X1</v>
          </cell>
        </row>
        <row r="1479">
          <cell r="A1479">
            <v>300056565</v>
          </cell>
          <cell r="B1479" t="str">
            <v>MARGARITA BBQ 36GX70X1</v>
          </cell>
        </row>
        <row r="1480">
          <cell r="A1480">
            <v>300056134</v>
          </cell>
          <cell r="B1480" t="str">
            <v>MARGARITA REC CLAS PIM OLIVA 38GX72X1</v>
          </cell>
        </row>
        <row r="1481">
          <cell r="A1481">
            <v>300054611</v>
          </cell>
          <cell r="B1481" t="str">
            <v>GALL QUAKER AVENA MAN CA 28GX17X6 BOL</v>
          </cell>
        </row>
        <row r="1482">
          <cell r="A1482">
            <v>300054776</v>
          </cell>
          <cell r="B1482" t="str">
            <v>GALL QUAKER AVENA PASAS 28GX17X6 BOL</v>
          </cell>
        </row>
        <row r="1483">
          <cell r="A1483">
            <v>300056564</v>
          </cell>
          <cell r="B1483" t="str">
            <v>MARGARITA POLLO 36GX70X1</v>
          </cell>
        </row>
        <row r="1484">
          <cell r="A1484">
            <v>300056408</v>
          </cell>
          <cell r="B1484" t="str">
            <v>MARGARITA LIMON 30GX72X1</v>
          </cell>
        </row>
        <row r="1485">
          <cell r="A1485">
            <v>300056055</v>
          </cell>
          <cell r="B1485" t="str">
            <v>MARGARITA REC CLAS LIMONPIMIE 115GX20X1</v>
          </cell>
        </row>
        <row r="1486">
          <cell r="A1486">
            <v>300056057</v>
          </cell>
          <cell r="B1486" t="str">
            <v>MARGARITA REC CLAS LIMONPIMIE 37GX72X1</v>
          </cell>
        </row>
        <row r="1487">
          <cell r="A1487">
            <v>300056642</v>
          </cell>
          <cell r="B1487" t="str">
            <v>MARGARITA LIMON 36GX70X1</v>
          </cell>
        </row>
        <row r="1488">
          <cell r="A1488">
            <v>300056021</v>
          </cell>
          <cell r="B1488" t="str">
            <v>MARGARITA ONDULADA TOM 32GX7X10 BX10 IMP</v>
          </cell>
        </row>
        <row r="1489">
          <cell r="A1489">
            <v>300056487</v>
          </cell>
          <cell r="B1489" t="str">
            <v>MARGARITA ONDULADA TOMATE 35GX72X1</v>
          </cell>
        </row>
        <row r="1490">
          <cell r="A1490">
            <v>300056073</v>
          </cell>
          <cell r="B1490" t="str">
            <v>DORITOS MEGAQUESO  68GX30X1</v>
          </cell>
        </row>
        <row r="1491">
          <cell r="A1491">
            <v>300056038</v>
          </cell>
          <cell r="B1491" t="str">
            <v>MARGARITA POLLO 25GX74X1 MAQ</v>
          </cell>
        </row>
        <row r="1492">
          <cell r="A1492">
            <v>300056047</v>
          </cell>
          <cell r="B1492" t="str">
            <v>MARGARITA REC CLAS NATURAL 120GX20X1</v>
          </cell>
        </row>
        <row r="1493">
          <cell r="A1493">
            <v>300056407</v>
          </cell>
          <cell r="B1493" t="str">
            <v>MARGARITA BBQ 30GX72X1</v>
          </cell>
        </row>
        <row r="1494">
          <cell r="A1494">
            <v>300056037</v>
          </cell>
          <cell r="B1494" t="str">
            <v>MARGARITA NATURAL 25GX74X1 MAQ</v>
          </cell>
        </row>
        <row r="1495">
          <cell r="A1495">
            <v>300056102</v>
          </cell>
          <cell r="B1495" t="str">
            <v>DORITOS FLAMING HOT 175GX18X1</v>
          </cell>
        </row>
        <row r="1496">
          <cell r="A1496">
            <v>300056103</v>
          </cell>
          <cell r="B1496" t="str">
            <v>DORITOS FLAMING HOT 41GX76X1</v>
          </cell>
        </row>
        <row r="1497">
          <cell r="A1497">
            <v>300057325</v>
          </cell>
          <cell r="B1497" t="str">
            <v>DETODITO BBQ 50GX33X1</v>
          </cell>
        </row>
        <row r="1498">
          <cell r="A1498">
            <v>300057322</v>
          </cell>
          <cell r="B1498" t="str">
            <v>DETODITO NATURAL 50GX33X1</v>
          </cell>
        </row>
        <row r="1499">
          <cell r="A1499">
            <v>300056053</v>
          </cell>
          <cell r="B1499" t="str">
            <v>DORITOS MEGAQUESO 34GX82X1</v>
          </cell>
        </row>
        <row r="1500">
          <cell r="A1500">
            <v>300057266</v>
          </cell>
          <cell r="B1500" t="str">
            <v>CHOCLITOS LIMON 40GX108X1 RM</v>
          </cell>
        </row>
        <row r="1501">
          <cell r="A1501">
            <v>300057324</v>
          </cell>
          <cell r="B1501" t="str">
            <v>DETODITO BBQ 65GX19X1</v>
          </cell>
        </row>
        <row r="1502">
          <cell r="A1502">
            <v>300056041</v>
          </cell>
          <cell r="B1502" t="str">
            <v>MARGARITA SENS PAPRIKA 120GX20X1</v>
          </cell>
        </row>
        <row r="1503">
          <cell r="A1503">
            <v>300056045</v>
          </cell>
          <cell r="B1503" t="str">
            <v>MARGARITA SENS POLLO TERIYAKI 120GX20X1</v>
          </cell>
        </row>
        <row r="1504">
          <cell r="A1504">
            <v>300056460</v>
          </cell>
          <cell r="B1504" t="str">
            <v>MARGARITA POLLO 30GX72X1</v>
          </cell>
        </row>
        <row r="1505">
          <cell r="A1505">
            <v>300056068</v>
          </cell>
          <cell r="B1505" t="str">
            <v>DETODITO NATURAL 165GX16X1</v>
          </cell>
        </row>
        <row r="1506">
          <cell r="A1506">
            <v>300056069</v>
          </cell>
          <cell r="B1506" t="str">
            <v>DETODITO BBQ 165GX16X1</v>
          </cell>
        </row>
        <row r="1507">
          <cell r="A1507">
            <v>300056113</v>
          </cell>
          <cell r="B1507" t="str">
            <v>MARGARITA LIMON 105GX18X1</v>
          </cell>
        </row>
        <row r="1508">
          <cell r="A1508">
            <v>300056104</v>
          </cell>
          <cell r="B1508" t="str">
            <v>MARGARITA FLAMING HOT 105GX18X1</v>
          </cell>
        </row>
        <row r="1509">
          <cell r="A1509">
            <v>300056105</v>
          </cell>
          <cell r="B1509" t="str">
            <v>MARGARITA FLAMING HOT 36GX72X1</v>
          </cell>
        </row>
        <row r="1510">
          <cell r="A1510">
            <v>300056406</v>
          </cell>
          <cell r="B1510" t="str">
            <v>CHEETOS NATURAL 15GX96X1  MAQ</v>
          </cell>
        </row>
        <row r="1511">
          <cell r="A1511">
            <v>300056056</v>
          </cell>
          <cell r="B1511" t="str">
            <v>CHOCLITOS LIMON 27GX120X1 MAQ</v>
          </cell>
        </row>
        <row r="1512">
          <cell r="A1512">
            <v>300056071</v>
          </cell>
          <cell r="B1512" t="str">
            <v>DETODITO LIMON 165GX16X1</v>
          </cell>
        </row>
        <row r="1513">
          <cell r="A1513">
            <v>300056679</v>
          </cell>
          <cell r="B1513" t="str">
            <v>DETODITO LIMON 45GX6X6 IMP</v>
          </cell>
        </row>
        <row r="1514">
          <cell r="A1514">
            <v>300057323</v>
          </cell>
          <cell r="B1514" t="str">
            <v>DETODITO LIMON 50GX33X1</v>
          </cell>
        </row>
        <row r="1515">
          <cell r="A1515">
            <v>300056026</v>
          </cell>
          <cell r="B1515" t="str">
            <v>JACKS CHICHARRON NATUR 15GX7X12 BX12 IMP</v>
          </cell>
        </row>
        <row r="1516">
          <cell r="A1516">
            <v>300056025</v>
          </cell>
          <cell r="B1516" t="str">
            <v>JACKS CHICHARRON NATURAL 100GX14X1</v>
          </cell>
        </row>
        <row r="1517">
          <cell r="A1517">
            <v>300056024</v>
          </cell>
          <cell r="B1517" t="str">
            <v>JACKS CHICHARRON NATURAL 15GX88X1</v>
          </cell>
        </row>
        <row r="1518">
          <cell r="A1518">
            <v>300056039</v>
          </cell>
          <cell r="B1518" t="str">
            <v>MARGARITA LIMON 25GX74X1 MAQ</v>
          </cell>
        </row>
        <row r="1519">
          <cell r="A1519">
            <v>300056043</v>
          </cell>
          <cell r="B1519" t="str">
            <v>MGTA RECCLA NATURAL 38GX72X1</v>
          </cell>
        </row>
        <row r="1520">
          <cell r="A1520">
            <v>300054777</v>
          </cell>
          <cell r="B1520" t="str">
            <v>GALL QUAKER AVENA GRANOL 28GX17X6 BOL</v>
          </cell>
        </row>
        <row r="1521">
          <cell r="A1521">
            <v>300056095</v>
          </cell>
          <cell r="B1521" t="str">
            <v>DORITOS MEGAQUESO 175GX18X1</v>
          </cell>
        </row>
        <row r="1522">
          <cell r="A1522">
            <v>300056678</v>
          </cell>
          <cell r="B1522" t="str">
            <v>DETODITO BBQ 45GX6X6 BX6 IMP</v>
          </cell>
        </row>
        <row r="1523">
          <cell r="A1523">
            <v>300057390</v>
          </cell>
          <cell r="B1523" t="str">
            <v>CHOCLITOS LIMON 27GX9X12 IMP</v>
          </cell>
        </row>
        <row r="1524">
          <cell r="A1524">
            <v>300057321</v>
          </cell>
          <cell r="B1524" t="str">
            <v>DETODITO NATURAL 65GX19X1</v>
          </cell>
        </row>
        <row r="1525">
          <cell r="A1525">
            <v>300056356</v>
          </cell>
          <cell r="B1525" t="str">
            <v>MANI MOTO NATURAL 44GX14X12 DISPX12</v>
          </cell>
        </row>
        <row r="1526">
          <cell r="A1526">
            <v>300056354</v>
          </cell>
          <cell r="B1526" t="str">
            <v>MANI MOTO NATURAL 44GX12X12 BOLSA TRANS</v>
          </cell>
        </row>
        <row r="1527">
          <cell r="A1527">
            <v>300056355</v>
          </cell>
          <cell r="B1527" t="str">
            <v>MANI MOTO NATURAL 44GX12X12 BX12 IMP</v>
          </cell>
        </row>
        <row r="1528">
          <cell r="A1528">
            <v>300057010</v>
          </cell>
          <cell r="B1528" t="str">
            <v>DETODITO NATURAL 45GX6X6 BX6 IMP</v>
          </cell>
        </row>
        <row r="1529">
          <cell r="A1529">
            <v>300056110</v>
          </cell>
          <cell r="B1529" t="str">
            <v>MARGARITA OND MAYONESA 105GX18X1</v>
          </cell>
        </row>
        <row r="1530">
          <cell r="A1530">
            <v>300056109</v>
          </cell>
          <cell r="B1530" t="str">
            <v>MARGARITA OND TOMATE 105GX18X1</v>
          </cell>
        </row>
        <row r="1531">
          <cell r="A1531">
            <v>300056096</v>
          </cell>
          <cell r="B1531" t="str">
            <v>CHOCLITOS PICANTE 190GX20X1</v>
          </cell>
        </row>
        <row r="1532">
          <cell r="A1532">
            <v>300057265</v>
          </cell>
          <cell r="B1532" t="str">
            <v>CHOCLITOS PICANTE 40GX108X1</v>
          </cell>
        </row>
        <row r="1533">
          <cell r="A1533">
            <v>300056058</v>
          </cell>
          <cell r="B1533" t="str">
            <v>MGTA REC CLAS LIMONPIM 37GX6X6 BX6 IMP</v>
          </cell>
        </row>
        <row r="1534">
          <cell r="A1534">
            <v>300056036</v>
          </cell>
          <cell r="B1534" t="str">
            <v>DETODITO MIX 45GX72X1</v>
          </cell>
        </row>
        <row r="1535">
          <cell r="A1535">
            <v>300057318</v>
          </cell>
          <cell r="B1535" t="str">
            <v>DETODITO MIX 50GX33X1</v>
          </cell>
        </row>
        <row r="1536">
          <cell r="A1536">
            <v>300057319</v>
          </cell>
          <cell r="B1536" t="str">
            <v>DETODITO MIX 65GX19X1</v>
          </cell>
        </row>
        <row r="1537">
          <cell r="A1537">
            <v>300056070</v>
          </cell>
          <cell r="B1537" t="str">
            <v>DETODITO MIX 165GX16X1</v>
          </cell>
        </row>
        <row r="1538">
          <cell r="A1538">
            <v>300055845</v>
          </cell>
          <cell r="B1538" t="str">
            <v>DETODITO MIX 45GX6X6 BX6 IMP</v>
          </cell>
        </row>
        <row r="1539">
          <cell r="A1539">
            <v>300056023</v>
          </cell>
          <cell r="B1539" t="str">
            <v>DETODITO MIX 45GX6X12</v>
          </cell>
        </row>
        <row r="1540">
          <cell r="A1540">
            <v>300056127</v>
          </cell>
          <cell r="B1540" t="str">
            <v>CHEESE TRIS QUESO 80GX30X1</v>
          </cell>
        </row>
        <row r="1541">
          <cell r="A1541">
            <v>300056353</v>
          </cell>
          <cell r="B1541" t="str">
            <v>MANI MOTO LIMON 42GX14X12 DISPX12</v>
          </cell>
        </row>
        <row r="1542">
          <cell r="A1542">
            <v>300057168</v>
          </cell>
          <cell r="B1542" t="str">
            <v>CHEETOS BOLI 34GX30X1 RM</v>
          </cell>
        </row>
        <row r="1543">
          <cell r="A1543">
            <v>300057320</v>
          </cell>
          <cell r="B1543" t="str">
            <v>CHEETOS TRISSITOS PICANTE 34GX40X1 PACA</v>
          </cell>
        </row>
        <row r="1544">
          <cell r="A1544">
            <v>300056128</v>
          </cell>
          <cell r="B1544" t="str">
            <v>CHEESE TRIS QUESO 42GX7X12 SP</v>
          </cell>
        </row>
        <row r="1545">
          <cell r="A1545">
            <v>300056085</v>
          </cell>
          <cell r="B1545" t="str">
            <v>JACKS ROSQUITAS CRONCH QUES 19GX8X12 IMP</v>
          </cell>
        </row>
        <row r="1546">
          <cell r="A1546">
            <v>300056086</v>
          </cell>
          <cell r="B1546" t="str">
            <v>JACKS ROSQUITAS CRONCH QUESO 19GX90X1</v>
          </cell>
        </row>
        <row r="1547">
          <cell r="A1547">
            <v>300056131</v>
          </cell>
          <cell r="B1547" t="str">
            <v>CHEESE TRIS QUESO 42GX96X1 SP</v>
          </cell>
        </row>
        <row r="1548">
          <cell r="A1548">
            <v>300057441</v>
          </cell>
          <cell r="B1548" t="str">
            <v>CHEETOS NATURAL 40GX20X1</v>
          </cell>
        </row>
        <row r="1549">
          <cell r="A1549">
            <v>300057169</v>
          </cell>
          <cell r="B1549" t="str">
            <v>CHEETOS NATURAL 40GX40X1</v>
          </cell>
        </row>
        <row r="1550">
          <cell r="A1550">
            <v>300056130</v>
          </cell>
          <cell r="B1550" t="str">
            <v>CHEESE TRIS QUESO 42GX14X6 SEXTA</v>
          </cell>
        </row>
        <row r="1551">
          <cell r="A1551">
            <v>300056048</v>
          </cell>
          <cell r="B1551" t="str">
            <v>MARGARITA REC CLAS POLL BBQ 120GX20X1</v>
          </cell>
        </row>
        <row r="1552">
          <cell r="A1552">
            <v>300056100</v>
          </cell>
          <cell r="B1552" t="str">
            <v>CHEETOS FLAMING HOT 37GX96X1</v>
          </cell>
        </row>
        <row r="1553">
          <cell r="A1553">
            <v>300056101</v>
          </cell>
          <cell r="B1553" t="str">
            <v>CHEETOS FLAMING HOT 75GX30X1</v>
          </cell>
        </row>
        <row r="1554">
          <cell r="A1554">
            <v>300056029</v>
          </cell>
          <cell r="B1554" t="str">
            <v>NATUCHIPS PLATANO MADURO 135GX20X1</v>
          </cell>
        </row>
        <row r="1555">
          <cell r="A1555">
            <v>300056030</v>
          </cell>
          <cell r="B1555" t="str">
            <v>NATUCHIPS PLATANO MADU 28GX10X12 IMP</v>
          </cell>
        </row>
        <row r="1556">
          <cell r="A1556">
            <v>300056094</v>
          </cell>
          <cell r="B1556" t="str">
            <v>NATUCHIPS PLATANO MADURO 38GX84X1</v>
          </cell>
        </row>
        <row r="1557">
          <cell r="A1557">
            <v>300056099</v>
          </cell>
          <cell r="B1557" t="str">
            <v>NATUCHIPS PLATANO MADURO 38GX7X12</v>
          </cell>
        </row>
        <row r="1558">
          <cell r="A1558">
            <v>300056049</v>
          </cell>
          <cell r="B1558" t="str">
            <v>CHEETOS BOLI QUESO 20GX84X1 MQ</v>
          </cell>
        </row>
        <row r="1559">
          <cell r="A1559">
            <v>300056027</v>
          </cell>
          <cell r="B1559" t="str">
            <v>NATUCHIPS PLATANO VERDE 135GX20X1</v>
          </cell>
        </row>
        <row r="1560">
          <cell r="A1560">
            <v>300056028</v>
          </cell>
          <cell r="B1560" t="str">
            <v>NATUCHIPS PLATANO VERD 28GX10X12 IMP</v>
          </cell>
        </row>
        <row r="1561">
          <cell r="A1561">
            <v>300056098</v>
          </cell>
          <cell r="B1561" t="str">
            <v>NATUCHIPS PLATANO VERDE 38GX84X1</v>
          </cell>
        </row>
        <row r="1562">
          <cell r="A1562">
            <v>300056097</v>
          </cell>
          <cell r="B1562" t="str">
            <v>NATUCHIPS PLATANO VERDE 38GX7X12</v>
          </cell>
        </row>
        <row r="1563">
          <cell r="A1563">
            <v>300056112</v>
          </cell>
          <cell r="B1563" t="str">
            <v>MARGARITA NATURAL 105GX18X1</v>
          </cell>
        </row>
        <row r="1564">
          <cell r="A1564">
            <v>300056111</v>
          </cell>
          <cell r="B1564" t="str">
            <v>MARGARITA POLLO 105GX18X1</v>
          </cell>
        </row>
        <row r="1565">
          <cell r="A1565">
            <v>300056115</v>
          </cell>
          <cell r="B1565" t="str">
            <v>MARGARITA CREMA CEBOLLA 36GX70X1</v>
          </cell>
        </row>
        <row r="1566">
          <cell r="A1566">
            <v>300056405</v>
          </cell>
          <cell r="B1566" t="str">
            <v>CHEESE TRIS QUESO 150GX22X1</v>
          </cell>
        </row>
        <row r="1567">
          <cell r="A1567">
            <v>300057264</v>
          </cell>
          <cell r="B1567" t="str">
            <v>CHOCLITOS LIMON 210X19X1</v>
          </cell>
        </row>
        <row r="1568">
          <cell r="A1568">
            <v>300057228</v>
          </cell>
          <cell r="B1568" t="str">
            <v>FRITOLAY MIX ARANDANO 370GX10X1</v>
          </cell>
        </row>
        <row r="1569">
          <cell r="A1569">
            <v>300056050</v>
          </cell>
          <cell r="B1569" t="str">
            <v>CHEETOS BOLI QUESO 20GX84X1</v>
          </cell>
        </row>
        <row r="1570">
          <cell r="A1570">
            <v>300056042</v>
          </cell>
          <cell r="B1570" t="str">
            <v>MGTA RECCLA ALITAS BBQ 38GX72X1</v>
          </cell>
        </row>
        <row r="1571">
          <cell r="A1571">
            <v>300057012</v>
          </cell>
          <cell r="B1571" t="str">
            <v>MARGARITA LIMON 65GX27X1</v>
          </cell>
        </row>
        <row r="1572">
          <cell r="A1572">
            <v>300057014</v>
          </cell>
          <cell r="B1572" t="str">
            <v>MARGARITA POLLO 65GX27X1</v>
          </cell>
        </row>
        <row r="1573">
          <cell r="A1573">
            <v>300055846</v>
          </cell>
          <cell r="B1573" t="str">
            <v>GUDIZ VAINILLA 28GX116X1 BOL</v>
          </cell>
        </row>
        <row r="1574">
          <cell r="A1574">
            <v>300057588</v>
          </cell>
          <cell r="B1574" t="str">
            <v>DORITOS DINAM FH 50GX100X1</v>
          </cell>
        </row>
        <row r="1575">
          <cell r="A1575">
            <v>300057586</v>
          </cell>
          <cell r="B1575" t="str">
            <v>DORITOS DINAM LIMON TAQ 50GX100X1</v>
          </cell>
        </row>
        <row r="1576">
          <cell r="A1576">
            <v>300058041</v>
          </cell>
          <cell r="B1576" t="str">
            <v>DORITOS DINAMITA SURT 300GX6X1 TIRA</v>
          </cell>
        </row>
        <row r="1577">
          <cell r="A1577">
            <v>300057013</v>
          </cell>
          <cell r="B1577" t="str">
            <v>MARGARITA NATURAL 65GX27X1</v>
          </cell>
        </row>
        <row r="1578">
          <cell r="A1578">
            <v>300056122</v>
          </cell>
          <cell r="B1578" t="str">
            <v>CHEETOS BOLI QUESO 38GX30X1</v>
          </cell>
        </row>
        <row r="1579">
          <cell r="A1579">
            <v>300056064</v>
          </cell>
          <cell r="B1579" t="str">
            <v>DORITOS MEGAQUESO 34GX82X1 SP</v>
          </cell>
        </row>
        <row r="1580">
          <cell r="A1580">
            <v>300054070</v>
          </cell>
          <cell r="B1580" t="str">
            <v>DTD 800G 2X1 DTDNATDTDBBQ PRICE COL</v>
          </cell>
        </row>
        <row r="1581">
          <cell r="A1581">
            <v>300056133</v>
          </cell>
          <cell r="B1581" t="str">
            <v>SURTIDO HIPER LONCHERA 764GX3X1 BX30</v>
          </cell>
        </row>
        <row r="1582">
          <cell r="A1582">
            <v>300057587</v>
          </cell>
          <cell r="B1582" t="str">
            <v>DORITOS DINAM LIMON TAQ 200GX27X1</v>
          </cell>
        </row>
        <row r="1583">
          <cell r="A1583">
            <v>300057589</v>
          </cell>
          <cell r="B1583" t="str">
            <v>DORITOS DINAM FH 200GX27X1</v>
          </cell>
        </row>
        <row r="1584">
          <cell r="A1584">
            <v>300057227</v>
          </cell>
          <cell r="B1584" t="str">
            <v>FRITOLAY MIX ARANDANO 170GX25X1</v>
          </cell>
        </row>
        <row r="1585">
          <cell r="A1585">
            <v>300057925</v>
          </cell>
          <cell r="B1585" t="str">
            <v>CHEETOS TRISSITOS PICANTE 20GX60X1</v>
          </cell>
        </row>
        <row r="1586">
          <cell r="A1586">
            <v>300058210</v>
          </cell>
          <cell r="B1586" t="str">
            <v>NATUCHIPS PLATANO MADURO 28GX96X1</v>
          </cell>
        </row>
        <row r="1587">
          <cell r="A1587">
            <v>300058062</v>
          </cell>
          <cell r="B1587" t="str">
            <v>CHOCLITOS PICANTE 27GX120X1 MAQ</v>
          </cell>
        </row>
        <row r="1588">
          <cell r="A1588">
            <v>300058211</v>
          </cell>
          <cell r="B1588" t="str">
            <v>NATUCHIPS PLATANO VERDE 28GX96X1</v>
          </cell>
        </row>
        <row r="1589">
          <cell r="A1589">
            <v>300058376</v>
          </cell>
          <cell r="B1589" t="str">
            <v>MAMUT BLANCO 11GX6X42 DISPLAY</v>
          </cell>
        </row>
        <row r="1590">
          <cell r="A1590">
            <v>300058377</v>
          </cell>
          <cell r="B1590" t="str">
            <v>MAMUT OSCURO 11GX6X42 DISPLAY</v>
          </cell>
        </row>
        <row r="1591">
          <cell r="A1591">
            <v>300058236</v>
          </cell>
          <cell r="B1591" t="str">
            <v>SURTIDO ULTRA LONCHERA 1392GX2X1 BX50</v>
          </cell>
        </row>
        <row r="1592">
          <cell r="A1592">
            <v>300058141</v>
          </cell>
          <cell r="B1592" t="str">
            <v>SURTIDO MEGA LONCHERA 586GX3X1 BX22</v>
          </cell>
        </row>
        <row r="1593">
          <cell r="A1593">
            <v>300058140</v>
          </cell>
          <cell r="B1593" t="str">
            <v>SURTIDO SUPER LONCHERA 271GX7X1 BX12</v>
          </cell>
        </row>
        <row r="1594">
          <cell r="A1594">
            <v>300058063</v>
          </cell>
          <cell r="B1594" t="str">
            <v>SURTIDO LONCHERA D1 266GX7X1</v>
          </cell>
        </row>
        <row r="1595">
          <cell r="A1595">
            <v>300057869</v>
          </cell>
          <cell r="B1595" t="str">
            <v>SURTIDO ALEGRIA 447GX3X1 BX18</v>
          </cell>
        </row>
        <row r="1596">
          <cell r="A1596">
            <v>300058540</v>
          </cell>
          <cell r="B1596" t="str">
            <v>DETODITO MIX 65GX20X1</v>
          </cell>
        </row>
        <row r="1597">
          <cell r="A1597">
            <v>300058541</v>
          </cell>
          <cell r="B1597" t="str">
            <v>DETODITO BBQ 65GX20X1</v>
          </cell>
        </row>
        <row r="1598">
          <cell r="A1598">
            <v>300058229</v>
          </cell>
          <cell r="B1598" t="str">
            <v>DETODITO NATURAL 65GX20X1</v>
          </cell>
        </row>
        <row r="1599">
          <cell r="A1599">
            <v>300058373</v>
          </cell>
          <cell r="B1599" t="str">
            <v>CHOKIS CHOCOLATE 19GX28X6 IMP</v>
          </cell>
        </row>
        <row r="1600">
          <cell r="A1600">
            <v>300058226</v>
          </cell>
          <cell r="B1600" t="str">
            <v>MARGARITA OND QUESO 35GX72X1</v>
          </cell>
        </row>
        <row r="1601">
          <cell r="A1601">
            <v>300058225</v>
          </cell>
          <cell r="B1601" t="str">
            <v>MARGARITA OND QUESO 105GX18X1</v>
          </cell>
        </row>
        <row r="1602">
          <cell r="A1602">
            <v>300058885</v>
          </cell>
          <cell r="B1602" t="str">
            <v>DORITOS MEGAQUESO 34GX80X1</v>
          </cell>
        </row>
        <row r="1603">
          <cell r="A1603">
            <v>300058733</v>
          </cell>
          <cell r="B1603" t="str">
            <v>DORITOS MEGAQUESO 175GX15X1</v>
          </cell>
        </row>
        <row r="1604">
          <cell r="A1604">
            <v>300059544</v>
          </cell>
          <cell r="B1604" t="str">
            <v>TOSTITOS ORIGINAL NATURAL 190GX18X1</v>
          </cell>
        </row>
        <row r="1605">
          <cell r="A1605">
            <v>300059748</v>
          </cell>
          <cell r="B1605" t="str">
            <v>CHEETOS NATURAL 40GX40X1 CAJA</v>
          </cell>
        </row>
        <row r="1606">
          <cell r="A1606">
            <v>300059747</v>
          </cell>
          <cell r="B1606" t="str">
            <v>CHEETOS TRISSITOS PICANTE 34GX40X1 CAJA</v>
          </cell>
        </row>
        <row r="1607">
          <cell r="A1607">
            <v>300058886</v>
          </cell>
          <cell r="B1607" t="str">
            <v>DORITOS MEGAQUESO 200GX18X1</v>
          </cell>
        </row>
        <row r="1608">
          <cell r="A1608">
            <v>300058374</v>
          </cell>
          <cell r="B1608" t="str">
            <v>MAMUT BLANCO 11GX1X200</v>
          </cell>
        </row>
        <row r="1609">
          <cell r="A1609">
            <v>300058375</v>
          </cell>
          <cell r="B1609" t="str">
            <v>MAMUT OSCURO 11GX1X200</v>
          </cell>
        </row>
        <row r="1610">
          <cell r="A1610">
            <v>300058735</v>
          </cell>
          <cell r="B1610" t="str">
            <v>CHOCLITOS LIMON 50GX100X1</v>
          </cell>
        </row>
        <row r="1611">
          <cell r="A1611">
            <v>300058734</v>
          </cell>
          <cell r="B1611" t="str">
            <v>CHOCLITOS PICANTE 50GX100X1</v>
          </cell>
        </row>
        <row r="1612">
          <cell r="A1612">
            <v>300060257</v>
          </cell>
          <cell r="B1612" t="str">
            <v>DETODITO BBQ 58GX33X1</v>
          </cell>
        </row>
        <row r="1613">
          <cell r="A1613">
            <v>300060256</v>
          </cell>
          <cell r="B1613" t="str">
            <v>DETODITO FLAMIN HOT 58GX33X1</v>
          </cell>
        </row>
        <row r="1614">
          <cell r="A1614">
            <v>300060255</v>
          </cell>
          <cell r="B1614" t="str">
            <v>DETODITO LIMON 58GX33X1</v>
          </cell>
        </row>
        <row r="1615">
          <cell r="A1615">
            <v>300060254</v>
          </cell>
          <cell r="B1615" t="str">
            <v>DETODITO MIX 58GX33X1</v>
          </cell>
        </row>
        <row r="1616">
          <cell r="A1616">
            <v>300060253</v>
          </cell>
          <cell r="B1616" t="str">
            <v>DETODITO NATURAL 58GX33X1</v>
          </cell>
        </row>
        <row r="1617">
          <cell r="A1617">
            <v>300060303</v>
          </cell>
          <cell r="B1617" t="str">
            <v>DORITOS MEGAQUESO 48GX72X1</v>
          </cell>
        </row>
        <row r="1618">
          <cell r="A1618">
            <v>300060304</v>
          </cell>
          <cell r="B1618" t="str">
            <v>DORITOS FH 46GX72X1</v>
          </cell>
        </row>
        <row r="1619">
          <cell r="A1619">
            <v>300060307</v>
          </cell>
          <cell r="B1619" t="str">
            <v>MARGARITA BBQ 42GX60X1</v>
          </cell>
        </row>
        <row r="1620">
          <cell r="A1620">
            <v>300060306</v>
          </cell>
          <cell r="B1620" t="str">
            <v>MARGARITA CREMA CEBOLLA 42GX60X1</v>
          </cell>
        </row>
        <row r="1621">
          <cell r="A1621">
            <v>300060305</v>
          </cell>
          <cell r="B1621" t="str">
            <v>MARGARITA LIMON 42GX60X1</v>
          </cell>
        </row>
        <row r="1622">
          <cell r="A1622">
            <v>300060361</v>
          </cell>
          <cell r="B1622" t="str">
            <v xml:space="preserve">MARGARITA NATURAL 42GX60X1 </v>
          </cell>
        </row>
        <row r="1623">
          <cell r="A1623">
            <v>300060350</v>
          </cell>
          <cell r="B1623" t="str">
            <v>MARGARITA POLLO 42GX60X1</v>
          </cell>
        </row>
        <row r="1624">
          <cell r="A1624">
            <v>300060248</v>
          </cell>
          <cell r="B1624" t="str">
            <v xml:space="preserve">MARGARITA OND QUESO 40GX70X1 </v>
          </cell>
        </row>
        <row r="1625">
          <cell r="A1625">
            <v>300060249</v>
          </cell>
          <cell r="B1625" t="str">
            <v xml:space="preserve">MARGARITA ONDULADA MAYONESA 40GX70X1 </v>
          </cell>
        </row>
        <row r="1626">
          <cell r="A1626">
            <v>300060247</v>
          </cell>
          <cell r="B1626" t="str">
            <v xml:space="preserve">MARGARITA ONDULADA TOMATE 40GX70X1 </v>
          </cell>
        </row>
        <row r="1627">
          <cell r="A1627">
            <v>300060450</v>
          </cell>
          <cell r="B1627" t="str">
            <v>MARGARITA FLAMING HOT 42GX72X1</v>
          </cell>
        </row>
        <row r="1628">
          <cell r="A1628">
            <v>300060984</v>
          </cell>
          <cell r="B1628" t="str">
            <v>MARGARITA OND MAYO 40GX70X1 SP</v>
          </cell>
        </row>
        <row r="1629">
          <cell r="A1629">
            <v>300060985</v>
          </cell>
          <cell r="B1629" t="str">
            <v>MARGARITA OND QUESO 40GX70X1 SP</v>
          </cell>
        </row>
        <row r="1630">
          <cell r="A1630">
            <v>300060986</v>
          </cell>
          <cell r="B1630" t="str">
            <v>MARGARITA OND TOMAT 40GX70X1 SP</v>
          </cell>
        </row>
        <row r="1631">
          <cell r="A1631">
            <v>300060836</v>
          </cell>
          <cell r="B1631" t="str">
            <v>MARGARITA FH 42GX72X1 SP</v>
          </cell>
        </row>
        <row r="1632">
          <cell r="A1632">
            <v>300060961</v>
          </cell>
          <cell r="B1632" t="str">
            <v>CHOCLITOS PICANTE 50GX100X1 SP</v>
          </cell>
        </row>
        <row r="1633">
          <cell r="A1633">
            <v>300061002</v>
          </cell>
          <cell r="B1633" t="str">
            <v>DETODITO FLAMIN HOT 58GX33X1 SP</v>
          </cell>
        </row>
        <row r="1634">
          <cell r="A1634">
            <v>300060967</v>
          </cell>
          <cell r="B1634" t="str">
            <v>DETODITO LIMON 58GX33X1 SP</v>
          </cell>
        </row>
        <row r="1635">
          <cell r="A1635">
            <v>300060963</v>
          </cell>
          <cell r="B1635" t="str">
            <v>DETODITO MIX 58GX33X1 SP</v>
          </cell>
        </row>
        <row r="1636">
          <cell r="A1636">
            <v>300060969</v>
          </cell>
          <cell r="B1636" t="str">
            <v>DORITOS FLAMIN HOT 46GX72X1 SP</v>
          </cell>
        </row>
        <row r="1637">
          <cell r="A1637">
            <v>300060962</v>
          </cell>
          <cell r="B1637" t="str">
            <v>DORITOS MEGA QUESO 48GX72X1 SP</v>
          </cell>
        </row>
        <row r="1638">
          <cell r="A1638">
            <v>300060653</v>
          </cell>
          <cell r="B1638" t="str">
            <v>DORITOS MEGAQUESO 680GX4X1 IMP</v>
          </cell>
        </row>
        <row r="1639">
          <cell r="A1639">
            <v>300060954</v>
          </cell>
          <cell r="B1639" t="str">
            <v>DORITOS DINAMITA FH 35GX110X1 EXP</v>
          </cell>
        </row>
        <row r="1640">
          <cell r="A1640">
            <v>300060953</v>
          </cell>
          <cell r="B1640" t="str">
            <v>DORITOS DINAMITA FH 80GX38X1 EXP</v>
          </cell>
        </row>
        <row r="1641">
          <cell r="A1641">
            <v>300060968</v>
          </cell>
          <cell r="B1641" t="str">
            <v>DETODITO BBQ 58GX33X1 SP</v>
          </cell>
        </row>
        <row r="1642">
          <cell r="A1642">
            <v>300060833</v>
          </cell>
          <cell r="B1642" t="str">
            <v>MARGARITA BBQ 42GX60X1 SP</v>
          </cell>
        </row>
        <row r="1643">
          <cell r="A1643">
            <v>300060835</v>
          </cell>
          <cell r="B1643" t="str">
            <v>MARGARITA POLLO 42GX60X1 SP</v>
          </cell>
        </row>
        <row r="1644">
          <cell r="A1644">
            <v>300060964</v>
          </cell>
          <cell r="B1644" t="str">
            <v>DETODITO NATURAL 58GX33X1 SP</v>
          </cell>
        </row>
        <row r="1645">
          <cell r="A1645">
            <v>300060838</v>
          </cell>
          <cell r="B1645" t="str">
            <v>MARGARITA LIMON 42GX60X1 SP</v>
          </cell>
        </row>
        <row r="1646">
          <cell r="A1646">
            <v>300060834</v>
          </cell>
          <cell r="B1646" t="str">
            <v>MARGARITA NATURAL 42GX60X1 SP</v>
          </cell>
        </row>
        <row r="1647">
          <cell r="A1647">
            <v>300060966</v>
          </cell>
          <cell r="B1647" t="str">
            <v>CHOCLITOS LIMON 50GX100X1 SP</v>
          </cell>
        </row>
        <row r="1648">
          <cell r="A1648">
            <v>300060837</v>
          </cell>
          <cell r="B1648" t="str">
            <v>MARGARITA CRE Y CEB 42GX60X1 SP</v>
          </cell>
        </row>
        <row r="1649">
          <cell r="A1649">
            <v>300061304</v>
          </cell>
          <cell r="B1649" t="str">
            <v>CHEETOS BOLIQUESO 2X 34GX60X1</v>
          </cell>
        </row>
        <row r="1650">
          <cell r="A1650">
            <v>300061302</v>
          </cell>
          <cell r="B1650" t="str">
            <v>MANI MOTO NATURAL 360GX24X1 PROM2X</v>
          </cell>
        </row>
        <row r="1651">
          <cell r="A1651">
            <v>300061303</v>
          </cell>
          <cell r="B1651" t="str">
            <v>MANIMOTO NATURAL 2X 44GX180X1</v>
          </cell>
        </row>
        <row r="1652">
          <cell r="A1652">
            <v>300061480</v>
          </cell>
          <cell r="B1652" t="str">
            <v>CHOCLITOS PICANTE 45GX100X1 SP</v>
          </cell>
        </row>
        <row r="1653">
          <cell r="A1653">
            <v>300060988</v>
          </cell>
          <cell r="B1653" t="str">
            <v>DORITOS DINAMITA FH 200GX27X1 EXP</v>
          </cell>
        </row>
        <row r="1654">
          <cell r="A1654">
            <v>300061410</v>
          </cell>
          <cell r="B1654" t="str">
            <v>CHOCLITOS LIMON 45GX100X1 SP</v>
          </cell>
        </row>
        <row r="1655">
          <cell r="A1655">
            <v>300061015</v>
          </cell>
          <cell r="B1655" t="str">
            <v>MANI MOTO NAT 44GX9X12 DISPX12</v>
          </cell>
        </row>
        <row r="1656">
          <cell r="A1656">
            <v>300061301</v>
          </cell>
          <cell r="B1656" t="str">
            <v>MANI MOTO NATURAL 80GX9X9 DISPX9</v>
          </cell>
        </row>
        <row r="1657">
          <cell r="A1657">
            <v>300061014</v>
          </cell>
          <cell r="B1657" t="str">
            <v>MANI MOTO LIMON 42GX9X12 DISPX12</v>
          </cell>
        </row>
        <row r="1658">
          <cell r="A1658">
            <v>300061686</v>
          </cell>
          <cell r="B1658" t="str">
            <v>CHEETOS BOLIQUESO 20GX84X1 MN</v>
          </cell>
        </row>
        <row r="1659">
          <cell r="A1659">
            <v>300061684</v>
          </cell>
          <cell r="B1659" t="str">
            <v>CHOCLITOS LIMON 27GX120X1 MN</v>
          </cell>
        </row>
        <row r="1660">
          <cell r="A1660">
            <v>300061685</v>
          </cell>
          <cell r="B1660" t="str">
            <v>CHEETOS TRISSITOS 20GX60X1 MN</v>
          </cell>
        </row>
        <row r="1661">
          <cell r="A1661">
            <v>300061688</v>
          </cell>
          <cell r="B1661" t="str">
            <v>CHEETOS NATURAL 15GX96X1 MN</v>
          </cell>
        </row>
        <row r="1662">
          <cell r="A1662">
            <v>300061687</v>
          </cell>
          <cell r="B1662" t="str">
            <v>CHEESE TRIS 30GX96X1 MN</v>
          </cell>
        </row>
        <row r="1663">
          <cell r="A1663">
            <v>300061953</v>
          </cell>
          <cell r="B1663" t="str">
            <v>DETODITO BBQ 2X 50GX32X1</v>
          </cell>
        </row>
        <row r="1664">
          <cell r="A1664">
            <v>300061952</v>
          </cell>
          <cell r="B1664" t="str">
            <v>DETODITO NATURAL 2X 50GX32X1</v>
          </cell>
        </row>
        <row r="1665">
          <cell r="A1665">
            <v>300061951</v>
          </cell>
          <cell r="B1665" t="str">
            <v>MARGARITA LIMON 2X 36GX68X1 RM</v>
          </cell>
        </row>
        <row r="1666">
          <cell r="A1666">
            <v>300061950</v>
          </cell>
          <cell r="B1666" t="str">
            <v>MARGARITA POLLO 2X 36GX68X1 RM</v>
          </cell>
        </row>
        <row r="1667">
          <cell r="A1667">
            <v>300061889</v>
          </cell>
          <cell r="B1667" t="str">
            <v>Promo Mgpollo105G Cheetosnat40G 250X6X1</v>
          </cell>
        </row>
        <row r="1668">
          <cell r="A1668">
            <v>300061970</v>
          </cell>
          <cell r="B1668" t="str">
            <v>Promo Mglimon105G Cheetosnat40G 250X6X1</v>
          </cell>
        </row>
        <row r="1669">
          <cell r="A1669">
            <v>300061972</v>
          </cell>
          <cell r="B1669" t="str">
            <v>Promo Cheetosbo34G Cheetosnt40G 108X6X1</v>
          </cell>
        </row>
        <row r="1670">
          <cell r="A1670">
            <v>300061971</v>
          </cell>
          <cell r="B1670" t="str">
            <v>Promo Cheetosnt40G Cheetosbo34G 114X6X1</v>
          </cell>
        </row>
        <row r="1671">
          <cell r="A1671">
            <v>300061973</v>
          </cell>
          <cell r="B1671" t="str">
            <v>Promo Cheesetri80G Cheetosnat40G 200X6X1</v>
          </cell>
        </row>
        <row r="1672">
          <cell r="A1672">
            <v>300061682</v>
          </cell>
          <cell r="B1672" t="str">
            <v>DORITOS DINAMITA LIMON 35GX110X1 EXP</v>
          </cell>
        </row>
        <row r="1673">
          <cell r="A1673">
            <v>300061681</v>
          </cell>
          <cell r="B1673" t="str">
            <v>DORITOS DINAMITA LIMON 80GX38X1 EXP</v>
          </cell>
        </row>
        <row r="1674">
          <cell r="A1674">
            <v>300061683</v>
          </cell>
          <cell r="B1674" t="str">
            <v>DORITOS DINAMITA LIMON 200GX27X1 EXP</v>
          </cell>
        </row>
        <row r="1675">
          <cell r="A1675">
            <v>300062007</v>
          </cell>
          <cell r="B1675" t="str">
            <v>LAYS ARTESANAS SAL MARINA 34X72X1</v>
          </cell>
        </row>
        <row r="1676">
          <cell r="A1676">
            <v>300062008</v>
          </cell>
          <cell r="B1676" t="str">
            <v>LAYS ARTESANAS ALITAS BBQ 34GX72X1</v>
          </cell>
        </row>
        <row r="1677">
          <cell r="A1677">
            <v>300062283</v>
          </cell>
          <cell r="B1677" t="str">
            <v>LAYS OND PIC 35GX72X1 EXP PE</v>
          </cell>
        </row>
        <row r="1678">
          <cell r="A1678">
            <v>300062284</v>
          </cell>
          <cell r="B1678" t="str">
            <v>LAYS ONDAS PIC 105GX18X1 EXP PE</v>
          </cell>
        </row>
        <row r="1679">
          <cell r="A1679">
            <v>300062301</v>
          </cell>
          <cell r="B1679" t="str">
            <v>LAYS CLASICA 36GX70X1 EXP PE</v>
          </cell>
        </row>
        <row r="1680">
          <cell r="A1680">
            <v>300062402</v>
          </cell>
          <cell r="B1680" t="str">
            <v>LAYS CLASICA 17GX74X1 EXP PE</v>
          </cell>
        </row>
        <row r="1681">
          <cell r="A1681">
            <v>300062281</v>
          </cell>
          <cell r="B1681" t="str">
            <v>DORITOS QA 185GX18X1 EXP PE</v>
          </cell>
        </row>
        <row r="1682">
          <cell r="A1682">
            <v>300062280</v>
          </cell>
          <cell r="B1682" t="str">
            <v>DORITOS FLAMING HOT 41GX76X1 EXP PE</v>
          </cell>
        </row>
        <row r="1683">
          <cell r="A1683">
            <v>300062265</v>
          </cell>
          <cell r="B1683" t="str">
            <v>CHEETOS BOLI 34GX30X1 EXP PE</v>
          </cell>
        </row>
        <row r="1684">
          <cell r="A1684" t="str">
            <v>300062360 </v>
          </cell>
          <cell r="B1684" t="str">
            <v>PIQUEO NATURAL 50GX33X1 EXP PE</v>
          </cell>
        </row>
        <row r="1685">
          <cell r="A1685" t="str">
            <v>300062285 </v>
          </cell>
          <cell r="B1685" t="str">
            <v>PIQUEO NATURAL 165GX16X1 EXP PE</v>
          </cell>
        </row>
        <row r="1686">
          <cell r="A1686">
            <v>300062368</v>
          </cell>
          <cell r="B1686" t="str">
            <v>CHEESE TRIS QUESO 42GX96X1 EXP PE</v>
          </cell>
        </row>
        <row r="1687">
          <cell r="A1687">
            <v>300062266</v>
          </cell>
          <cell r="B1687" t="str">
            <v>CHEETOS BOLI QUESO 160GX12X1 EXP PE</v>
          </cell>
        </row>
        <row r="1688">
          <cell r="A1688">
            <v>300062367</v>
          </cell>
          <cell r="B1688" t="str">
            <v>CHEETOS FLAMING HOT 37GX96X1 EXP PE</v>
          </cell>
        </row>
        <row r="1689">
          <cell r="A1689">
            <v>300062282</v>
          </cell>
          <cell r="B1689" t="str">
            <v>DORITOS QA 43GX76X1 EXP PE</v>
          </cell>
        </row>
        <row r="1690">
          <cell r="A1690">
            <v>300062430</v>
          </cell>
          <cell r="B1690" t="str">
            <v>PIQUEO MIX 165GX16X1 EXP PE</v>
          </cell>
        </row>
        <row r="1691">
          <cell r="A1691">
            <v>300062431</v>
          </cell>
          <cell r="B1691" t="str">
            <v>PIQUEO MIX 50GX33X1 EXP PE</v>
          </cell>
        </row>
        <row r="1692">
          <cell r="A1692">
            <v>300062127</v>
          </cell>
          <cell r="B1692" t="str">
            <v>CHEETOS BOLI QUESO 20GX60X1 MQ</v>
          </cell>
        </row>
        <row r="1693">
          <cell r="A1693">
            <v>300062403</v>
          </cell>
          <cell r="B1693" t="str">
            <v>MARGARITA ONDULADA FLAMIN HOT 105GX18X1</v>
          </cell>
        </row>
        <row r="1694">
          <cell r="A1694">
            <v>300062404</v>
          </cell>
          <cell r="B1694" t="str">
            <v>MARGARITA ONDULADA FLAMIN HOT 35GX72X1</v>
          </cell>
        </row>
        <row r="1695">
          <cell r="A1695">
            <v>300062463</v>
          </cell>
          <cell r="B1695" t="str">
            <v>LAYS CLASICA 36GX66X1 EXP</v>
          </cell>
        </row>
        <row r="1696">
          <cell r="A1696">
            <v>300062363</v>
          </cell>
          <cell r="B1696" t="str">
            <v>CUATES PICANTE 45GX100X1 EXP PE</v>
          </cell>
        </row>
        <row r="1697">
          <cell r="A1697">
            <v>300062425</v>
          </cell>
          <cell r="B1697" t="str">
            <v>LAYS ONDAS MAYONESA 35GX72X1 PE</v>
          </cell>
        </row>
        <row r="1698">
          <cell r="A1698">
            <v>300062426</v>
          </cell>
          <cell r="B1698" t="str">
            <v>LAYS ONDAS MAYONESA 105GX18X1 EXP PE</v>
          </cell>
        </row>
        <row r="1699">
          <cell r="A1699">
            <v>300062680</v>
          </cell>
          <cell r="B1699" t="str">
            <v>SURTIDO LONCHERA D1 236GX7X1</v>
          </cell>
        </row>
        <row r="1700">
          <cell r="A1700">
            <v>300062681</v>
          </cell>
          <cell r="B1700" t="str">
            <v>SURTIDO ALEGRIA 338GX4X1</v>
          </cell>
        </row>
        <row r="1701">
          <cell r="A1701">
            <v>300062630</v>
          </cell>
          <cell r="B1701" t="str">
            <v>MANIMOTO NATURAL 44GX108X1</v>
          </cell>
        </row>
        <row r="1702">
          <cell r="A1702">
            <v>300062666</v>
          </cell>
          <cell r="B1702" t="str">
            <v>Detodito Flaming Hot 50Gx33X1 Nm</v>
          </cell>
        </row>
        <row r="1703">
          <cell r="A1703">
            <v>300062667</v>
          </cell>
          <cell r="B1703" t="str">
            <v>Detodito Flaming Hot 140Gx16X1 Nm</v>
          </cell>
        </row>
        <row r="1704">
          <cell r="A1704">
            <v>300062578</v>
          </cell>
          <cell r="B1704" t="str">
            <v>PROMO MANI 5X6 44GX15X6 TIR</v>
          </cell>
        </row>
        <row r="1705">
          <cell r="A1705">
            <v>300062970</v>
          </cell>
          <cell r="B1705" t="str">
            <v>MANIMOTO FLAMING HOT 35GX9X12 DISPX12</v>
          </cell>
        </row>
        <row r="1706">
          <cell r="A1706">
            <v>300063075</v>
          </cell>
          <cell r="B1706" t="str">
            <v>CHOKIS CHOCOLATE 19GX16X6</v>
          </cell>
        </row>
        <row r="1707">
          <cell r="A1707">
            <v>300062893</v>
          </cell>
          <cell r="B1707" t="str">
            <v>CHEESE TRIS QUESO 80GX30X1 BH</v>
          </cell>
        </row>
        <row r="1708">
          <cell r="A1708">
            <v>300062904</v>
          </cell>
          <cell r="B1708" t="str">
            <v>DETODITO BBQ 150GX13X1</v>
          </cell>
        </row>
        <row r="1709">
          <cell r="A1709">
            <v>300062894</v>
          </cell>
          <cell r="B1709" t="str">
            <v>CHOCLITOS LIMON 210X19X1 BH</v>
          </cell>
        </row>
        <row r="1710">
          <cell r="A1710">
            <v>300063095</v>
          </cell>
          <cell r="B1710" t="str">
            <v>MARGARITA POLLO 105GX18X1</v>
          </cell>
        </row>
        <row r="1711">
          <cell r="A1711">
            <v>300063092</v>
          </cell>
          <cell r="B1711" t="str">
            <v>MARGARITA LIMON 105GX18X1</v>
          </cell>
        </row>
        <row r="1712">
          <cell r="A1712">
            <v>300062964</v>
          </cell>
          <cell r="B1712" t="str">
            <v>NATUCHIPS PLATANO VERDE 135GX20X1 BH</v>
          </cell>
        </row>
        <row r="1713">
          <cell r="A1713">
            <v>300062965</v>
          </cell>
          <cell r="B1713" t="str">
            <v>NATUCHIPS PLATANO MADURO 135GX20X1 BH</v>
          </cell>
        </row>
        <row r="1714">
          <cell r="A1714">
            <v>300062895</v>
          </cell>
          <cell r="B1714" t="str">
            <v>DORITOS FLAMING HOT 175GX18X1 BH</v>
          </cell>
        </row>
        <row r="1715">
          <cell r="A1715">
            <v>300063093</v>
          </cell>
          <cell r="B1715" t="str">
            <v>MARGARITA OND MAYONESA 105GX18X1</v>
          </cell>
        </row>
        <row r="1716">
          <cell r="A1716">
            <v>300063094</v>
          </cell>
          <cell r="B1716" t="str">
            <v>MARGARITA OND TOMATE 105GX18X1</v>
          </cell>
        </row>
        <row r="1717">
          <cell r="A1717">
            <v>300062897</v>
          </cell>
          <cell r="B1717" t="str">
            <v>MULTIPACK EXTRUIDOS 130GX14X1 BX6</v>
          </cell>
        </row>
        <row r="1718">
          <cell r="A1718">
            <v>300062896</v>
          </cell>
          <cell r="B1718" t="str">
            <v>MULTIPACK CHOCLITOS 270GX12X1 BX10</v>
          </cell>
        </row>
        <row r="1719">
          <cell r="A1719">
            <v>300063057</v>
          </cell>
          <cell r="B1719" t="str">
            <v>MULTIPACK GUDIZ 224GX11X1 BX8</v>
          </cell>
        </row>
        <row r="1720">
          <cell r="A1720">
            <v>300063180</v>
          </cell>
          <cell r="B1720" t="str">
            <v>MULTIPACK PAPA 150X10X1 BX6</v>
          </cell>
        </row>
        <row r="1721">
          <cell r="A1721">
            <v>300063058</v>
          </cell>
          <cell r="B1721" t="str">
            <v>Doritos Dinam Surtido 240Gx20X1 Bx6 Imp</v>
          </cell>
        </row>
        <row r="1722">
          <cell r="A1722">
            <v>300062880</v>
          </cell>
          <cell r="B1722" t="str">
            <v>Doritos Mega Queso 150Gx19X1</v>
          </cell>
        </row>
        <row r="1723">
          <cell r="A1723">
            <v>300063261</v>
          </cell>
          <cell r="B1723" t="str">
            <v>MULTIPACK PAPA 225GX6X1 BX9</v>
          </cell>
        </row>
        <row r="1724">
          <cell r="A1724">
            <v>300062009</v>
          </cell>
          <cell r="B1724" t="str">
            <v>DORITOS DINAMITA LIMON 40GX110X1</v>
          </cell>
        </row>
        <row r="1725">
          <cell r="A1725">
            <v>300062090</v>
          </cell>
          <cell r="B1725" t="str">
            <v>DORITOS DINAMITA FH 40GX110X1</v>
          </cell>
        </row>
        <row r="1726">
          <cell r="A1726">
            <v>300063387</v>
          </cell>
          <cell r="B1726" t="str">
            <v>MULTIPACK PAPA 675GX2X1</v>
          </cell>
        </row>
        <row r="1727">
          <cell r="A1727">
            <v>300063350</v>
          </cell>
          <cell r="B1727" t="str">
            <v>CHEESE TRIS 30GX96X1 MAQ</v>
          </cell>
        </row>
        <row r="1728">
          <cell r="A1728">
            <v>300063384</v>
          </cell>
          <cell r="B1728" t="str">
            <v>CHEETOS BOLIQ PROMO CC 320GX6X1</v>
          </cell>
        </row>
        <row r="1729">
          <cell r="A1729">
            <v>300063360</v>
          </cell>
          <cell r="B1729" t="str">
            <v>CHEETOS NAT PROMO CC 15GX4X24 BX24</v>
          </cell>
        </row>
        <row r="1730">
          <cell r="A1730">
            <v>300063441</v>
          </cell>
          <cell r="B1730" t="str">
            <v>DORITOS DINAM LIMON TAQ 50GX100X1 NOVA</v>
          </cell>
        </row>
        <row r="1731">
          <cell r="A1731">
            <v>300063388</v>
          </cell>
          <cell r="B1731" t="str">
            <v>MARGARITA LIMON 25GX6X12 BX12 IMP NOVA</v>
          </cell>
        </row>
        <row r="1732">
          <cell r="A1732">
            <v>300063571</v>
          </cell>
          <cell r="B1732" t="str">
            <v>DETODITOS PROMO CC ESP 330GX8X1</v>
          </cell>
        </row>
        <row r="1733">
          <cell r="A1733">
            <v>300063386</v>
          </cell>
          <cell r="B1733" t="str">
            <v>DORITOS MEGAQUESO 34GX8X10 IMP NOVA</v>
          </cell>
        </row>
        <row r="1734">
          <cell r="A1734">
            <v>300063324</v>
          </cell>
          <cell r="B1734" t="str">
            <v>DORITOS PIZZA 175GX18X1</v>
          </cell>
        </row>
        <row r="1735">
          <cell r="A1735">
            <v>300063323</v>
          </cell>
          <cell r="B1735" t="str">
            <v>DORITOS PIZZA 41GX76X1</v>
          </cell>
        </row>
        <row r="1736">
          <cell r="A1736">
            <v>300063389</v>
          </cell>
          <cell r="B1736" t="str">
            <v>MARGARITA POLLO 25GX6X12 BX12 IMP NOVA</v>
          </cell>
        </row>
        <row r="1737">
          <cell r="A1737">
            <v>300063650</v>
          </cell>
          <cell r="B1737" t="str">
            <v>MANIMOTO NATURAL 264GX13X1 DSYX6</v>
          </cell>
        </row>
        <row r="1738">
          <cell r="A1738">
            <v>300063608</v>
          </cell>
          <cell r="B1738" t="str">
            <v>DETODITO PROMO CC 870GX2X1</v>
          </cell>
        </row>
        <row r="1739">
          <cell r="A1739">
            <v>300063244</v>
          </cell>
          <cell r="B1739" t="str">
            <v>MGTA RECCLA COSTE CARA 38GX12X6 BX6 IMP</v>
          </cell>
        </row>
        <row r="1740">
          <cell r="A1740">
            <v>300063242</v>
          </cell>
          <cell r="B1740" t="str">
            <v>MARGARITA REC CLAS COST CARA 120GX20X1</v>
          </cell>
        </row>
        <row r="1741">
          <cell r="A1741">
            <v>300063654</v>
          </cell>
          <cell r="B1741" t="str">
            <v>DORITOS MEGAQUESO 640GX6X1 OFERTAX2</v>
          </cell>
        </row>
        <row r="1742">
          <cell r="A1742">
            <v>300063712</v>
          </cell>
          <cell r="B1742" t="str">
            <v>DETODITO BBQ 45GX64X1</v>
          </cell>
        </row>
        <row r="1743">
          <cell r="A1743">
            <v>300063711</v>
          </cell>
          <cell r="B1743" t="str">
            <v>DETODITO MIX 45GX64X1</v>
          </cell>
        </row>
        <row r="1744">
          <cell r="A1744">
            <v>300063535</v>
          </cell>
          <cell r="B1744" t="str">
            <v>NATUCHIPS LISO LIMON 37GX84X1</v>
          </cell>
        </row>
        <row r="1745">
          <cell r="A1745">
            <v>300063536</v>
          </cell>
          <cell r="B1745" t="str">
            <v>NATUCHIPS LISO LIMON 120GX25X1</v>
          </cell>
        </row>
        <row r="1746">
          <cell r="A1746">
            <v>300063385</v>
          </cell>
          <cell r="B1746" t="str">
            <v>CHOKIS NAVIDAD 185GX12X1 COL</v>
          </cell>
        </row>
        <row r="1747">
          <cell r="A1747">
            <v>300063007</v>
          </cell>
          <cell r="B1747" t="str">
            <v>DETODITO BBQ 400GX7X1</v>
          </cell>
        </row>
        <row r="1748">
          <cell r="A1748">
            <v>300063002</v>
          </cell>
          <cell r="B1748" t="str">
            <v>DETODITO NATURAL 400GX7X1</v>
          </cell>
        </row>
        <row r="1749">
          <cell r="A1749">
            <v>300063003</v>
          </cell>
          <cell r="B1749" t="str">
            <v>DETODITO NATURAL 290GX8X1</v>
          </cell>
        </row>
        <row r="1750">
          <cell r="A1750">
            <v>300062903</v>
          </cell>
          <cell r="B1750" t="str">
            <v>DETODITO BBQ 165GX14X1</v>
          </cell>
        </row>
        <row r="1751">
          <cell r="A1751">
            <v>300063004</v>
          </cell>
          <cell r="B1751" t="str">
            <v>DETODITO NATURAL 165GX14X1</v>
          </cell>
        </row>
        <row r="1752">
          <cell r="A1752">
            <v>300063008</v>
          </cell>
          <cell r="B1752" t="str">
            <v>DETODITO BBQ 290GX8X1</v>
          </cell>
        </row>
        <row r="1753">
          <cell r="A1753">
            <v>300063673</v>
          </cell>
          <cell r="B1753" t="str">
            <v>TOSTITOS NATURAL 380GX8X1 OFERTAX2</v>
          </cell>
        </row>
        <row r="1754">
          <cell r="A1754">
            <v>300064084</v>
          </cell>
          <cell r="B1754" t="str">
            <v>MULTIPACK PAPA 225GX6X1 BX9 PRECIO ESPEC</v>
          </cell>
        </row>
        <row r="1755">
          <cell r="A1755">
            <v>300064166</v>
          </cell>
          <cell r="B1755" t="str">
            <v>PROMO CHEETOS 248GX6X1 NAT15G 2BOLIQ34G</v>
          </cell>
        </row>
        <row r="1756">
          <cell r="A1756">
            <v>300063074</v>
          </cell>
          <cell r="B1756" t="str">
            <v>CHEETOS NATURAL 15GX86X1 MAQ</v>
          </cell>
        </row>
        <row r="1757">
          <cell r="A1757">
            <v>300062962</v>
          </cell>
          <cell r="B1757" t="str">
            <v>CHEETOS BOLIQUESO 20GX80X1 MAQ</v>
          </cell>
        </row>
        <row r="1758">
          <cell r="A1758">
            <v>300064165</v>
          </cell>
          <cell r="B1758" t="str">
            <v>PROMO CHEETOS 308GX5X1 PAGUE 10 LLEVE 14</v>
          </cell>
        </row>
        <row r="1759">
          <cell r="A1759">
            <v>300064254</v>
          </cell>
          <cell r="B1759" t="str">
            <v>CHEESE TRIS 120GX24X1</v>
          </cell>
        </row>
        <row r="1760">
          <cell r="A1760">
            <v>300064214</v>
          </cell>
          <cell r="B1760" t="str">
            <v>LAYS ARTESAN ALITAS BBQ 30GX66X1 EXP PER</v>
          </cell>
        </row>
        <row r="1761">
          <cell r="A1761">
            <v>300064132</v>
          </cell>
          <cell r="B1761" t="str">
            <v>LAYS ARTESANAS ALITAS BBQ 130GX15X1 EXP</v>
          </cell>
        </row>
        <row r="1762">
          <cell r="A1762">
            <v>300064149</v>
          </cell>
          <cell r="B1762" t="str">
            <v>NATUCHIPS PLATANO VERDE 135GX16X1</v>
          </cell>
        </row>
        <row r="1763">
          <cell r="A1763">
            <v>300064253</v>
          </cell>
          <cell r="B1763" t="str">
            <v>CHEESE TRIS QUESO 80GX24X1</v>
          </cell>
        </row>
        <row r="1764">
          <cell r="A1764">
            <v>300064037</v>
          </cell>
          <cell r="B1764" t="str">
            <v>DETODITO BBQ MEGA 80GX20X1</v>
          </cell>
        </row>
        <row r="1765">
          <cell r="A1765">
            <v>300064215</v>
          </cell>
          <cell r="B1765" t="str">
            <v>LAYS ARTESAN SAL MARINA 30GX66X1 EXP PER</v>
          </cell>
        </row>
        <row r="1766">
          <cell r="A1766">
            <v>300064131</v>
          </cell>
          <cell r="B1766" t="str">
            <v>LAYS ARTESANAS SAL MARINA 135GX15X1 EXP</v>
          </cell>
        </row>
        <row r="1767">
          <cell r="A1767">
            <v>300064211</v>
          </cell>
          <cell r="B1767" t="str">
            <v>CHOCLITOS LIMON 125GX25X1</v>
          </cell>
        </row>
        <row r="1768">
          <cell r="A1768">
            <v>300064252</v>
          </cell>
          <cell r="B1768" t="str">
            <v>CHOCLITOS LIMON 210GX15X1</v>
          </cell>
        </row>
        <row r="1769">
          <cell r="A1769">
            <v>300064035</v>
          </cell>
          <cell r="B1769" t="str">
            <v>DETODITO MIX 80GX20X1</v>
          </cell>
        </row>
        <row r="1770">
          <cell r="A1770">
            <v>300064038</v>
          </cell>
          <cell r="B1770" t="str">
            <v>DETODITO MIX MEGA 80GX20X1</v>
          </cell>
        </row>
        <row r="1771">
          <cell r="A1771">
            <v>300064390</v>
          </cell>
          <cell r="B1771" t="str">
            <v>DORITOS JALAPENO VERDE 150GX15X1</v>
          </cell>
        </row>
        <row r="1772">
          <cell r="A1772">
            <v>300063817</v>
          </cell>
          <cell r="B1772" t="str">
            <v>DORITOS MEGA QUESO 80GX27X1</v>
          </cell>
        </row>
        <row r="1773">
          <cell r="A1773">
            <v>300064039</v>
          </cell>
          <cell r="B1773" t="str">
            <v>DETODITO POLLO 50GX33X1</v>
          </cell>
        </row>
        <row r="1774">
          <cell r="A1774">
            <v>300064340</v>
          </cell>
          <cell r="B1774" t="str">
            <v>DETODITO POLLO 165GX16X1</v>
          </cell>
        </row>
        <row r="1775">
          <cell r="A1775">
            <v>300064251</v>
          </cell>
          <cell r="B1775" t="str">
            <v>DETODITO BBQ 150GX10X1</v>
          </cell>
        </row>
        <row r="1776">
          <cell r="A1776">
            <v>300064341</v>
          </cell>
          <cell r="B1776" t="str">
            <v>Detodito Natural 80Gx20X1</v>
          </cell>
        </row>
        <row r="1777">
          <cell r="A1777">
            <v>300064036</v>
          </cell>
          <cell r="B1777" t="str">
            <v>Detodito Natural Mega 80Gx20X1</v>
          </cell>
        </row>
        <row r="1778">
          <cell r="A1778">
            <v>300064034</v>
          </cell>
          <cell r="B1778" t="str">
            <v>Detodito Bbq 80Gx20X1</v>
          </cell>
        </row>
        <row r="1779">
          <cell r="A1779">
            <v>300064294</v>
          </cell>
          <cell r="B1779" t="str">
            <v>Margarita Chorizo Limon 36Gx70X1</v>
          </cell>
        </row>
        <row r="1780">
          <cell r="A1780">
            <v>300064127</v>
          </cell>
          <cell r="B1780" t="str">
            <v>Margarita Chorizo Limon 105Gx18X1</v>
          </cell>
        </row>
        <row r="1781">
          <cell r="A1781">
            <v>300064021</v>
          </cell>
          <cell r="B1781" t="str">
            <v>MARGARITA POLLO 75GX22X1</v>
          </cell>
        </row>
        <row r="1782">
          <cell r="A1782">
            <v>300064020</v>
          </cell>
          <cell r="B1782" t="str">
            <v>MARGARITA LIMON 75GX22X1</v>
          </cell>
        </row>
        <row r="1783">
          <cell r="A1783">
            <v>300064144</v>
          </cell>
          <cell r="B1783" t="str">
            <v>DORITOS QUESO 48GX72X1</v>
          </cell>
        </row>
        <row r="1784">
          <cell r="A1784">
            <v>300064146</v>
          </cell>
          <cell r="B1784" t="str">
            <v>DORITOS FLAMIN HOT 46GX72X1</v>
          </cell>
        </row>
        <row r="1785">
          <cell r="A1785">
            <v>300064145</v>
          </cell>
          <cell r="B1785" t="str">
            <v>DORITOS PIZZA 46GX72X1</v>
          </cell>
        </row>
        <row r="1786">
          <cell r="A1786">
            <v>300064656</v>
          </cell>
          <cell r="B1786" t="str">
            <v>SURTIDO QUAKER AVENA 752GX5X1 OFERTAX2</v>
          </cell>
        </row>
        <row r="1787">
          <cell r="A1787">
            <v>300064142</v>
          </cell>
          <cell r="B1787" t="str">
            <v>FRITOLAY MANI PASAS 50GX10X24 MT</v>
          </cell>
        </row>
        <row r="1788">
          <cell r="A1788">
            <v>300064096</v>
          </cell>
          <cell r="B1788" t="str">
            <v>MANI MOTO NAKED SAL PASAS 36GX10X24 MT</v>
          </cell>
        </row>
        <row r="1789">
          <cell r="A1789">
            <v>300064143</v>
          </cell>
          <cell r="B1789" t="str">
            <v>FRITOLAY MANI PASAS 200GX24X1 MT</v>
          </cell>
        </row>
        <row r="1790">
          <cell r="A1790">
            <v>300064891</v>
          </cell>
          <cell r="B1790" t="str">
            <v>PROMO DORITOS 476GX5X1 PAGUE 10 LLEVE 14</v>
          </cell>
        </row>
        <row r="1791">
          <cell r="A1791">
            <v>300064922</v>
          </cell>
          <cell r="B1791" t="str">
            <v>DORITOS BARBECUE 175GX18X1</v>
          </cell>
        </row>
        <row r="1792">
          <cell r="A1792">
            <v>300064923</v>
          </cell>
          <cell r="B1792" t="str">
            <v>DORITOS BARBECUE 41GX76X1</v>
          </cell>
        </row>
        <row r="1793">
          <cell r="A1793">
            <v>300065060</v>
          </cell>
          <cell r="B1793" t="str">
            <v>MARGARITA LIMON 100GX18X1</v>
          </cell>
        </row>
        <row r="1794">
          <cell r="A1794">
            <v>300064884</v>
          </cell>
          <cell r="B1794" t="str">
            <v>MARGARITA NATURAL 105GX18X1 EXP</v>
          </cell>
        </row>
        <row r="1795">
          <cell r="A1795">
            <v>300064591</v>
          </cell>
          <cell r="B1795" t="str">
            <v>MARGARITA NATURAL 36GX70X1 EXP</v>
          </cell>
        </row>
        <row r="1796">
          <cell r="A1796">
            <v>300064884</v>
          </cell>
          <cell r="B1796" t="str">
            <v>MARGARITA NATURAL 105GX18X1 EXP</v>
          </cell>
        </row>
        <row r="1797">
          <cell r="A1797">
            <v>300064591</v>
          </cell>
          <cell r="B1797" t="str">
            <v>MARGARITA NATURAL 36GX70X1 EXP</v>
          </cell>
        </row>
        <row r="1798">
          <cell r="A1798">
            <v>300065061</v>
          </cell>
          <cell r="B1798" t="str">
            <v>MARGARITA POLLO 100GX18X1</v>
          </cell>
        </row>
        <row r="1799">
          <cell r="A1799">
            <v>300065230</v>
          </cell>
          <cell r="B1799" t="str">
            <v>MARGARITA POLLO 100GX18X1 MAQ</v>
          </cell>
        </row>
        <row r="1800">
          <cell r="A1800">
            <v>300065231</v>
          </cell>
          <cell r="B1800" t="str">
            <v>MARGARITA LIMON 100GX18X1 MAQ</v>
          </cell>
        </row>
        <row r="1801">
          <cell r="A1801">
            <v>400030952</v>
          </cell>
          <cell r="B1801" t="str">
            <v>CAJA GAP DOBLE ALTURA SABRITAS NEGRA</v>
          </cell>
        </row>
        <row r="1802">
          <cell r="A1802">
            <v>400040043</v>
          </cell>
          <cell r="B1802" t="str">
            <v>ETIQUETA MARCACION COLORES 100X60</v>
          </cell>
        </row>
        <row r="1803">
          <cell r="A1803">
            <v>400063610</v>
          </cell>
          <cell r="B1803" t="str">
            <v>BAG MGTA SURTIDA 25GX24X2 497X430 NA TR2</v>
          </cell>
        </row>
        <row r="1804">
          <cell r="A1804">
            <v>400040043</v>
          </cell>
          <cell r="B1804" t="str">
            <v>ETIQUETA MARCACION COLORES 100X60</v>
          </cell>
        </row>
        <row r="1805">
          <cell r="A1805">
            <v>400030922</v>
          </cell>
          <cell r="B1805" t="str">
            <v>CINTA OFERTA FUCSIA 36MMX100MTS</v>
          </cell>
        </row>
        <row r="1806">
          <cell r="A1806">
            <v>400030952</v>
          </cell>
          <cell r="B1806" t="str">
            <v>CAJA GAP DOBLE ALTURA SABRITAS NEGRA</v>
          </cell>
        </row>
        <row r="1807">
          <cell r="A1807">
            <v>400030959</v>
          </cell>
          <cell r="B1807" t="str">
            <v>BOLS TRANSP 235X400 POTINES</v>
          </cell>
        </row>
        <row r="1808">
          <cell r="A1808">
            <v>400030451</v>
          </cell>
          <cell r="B1808" t="str">
            <v>ETIQUETA BLANCA 40X40 COD BARRAS</v>
          </cell>
        </row>
        <row r="1809">
          <cell r="A1809">
            <v>400040043</v>
          </cell>
          <cell r="B1809" t="str">
            <v>ETIQUETA MARCACION COLORES 100X60</v>
          </cell>
        </row>
        <row r="1810">
          <cell r="A1810">
            <v>400030623</v>
          </cell>
          <cell r="B1810" t="str">
            <v>CAJA MANZANA GOLD 500X333X330</v>
          </cell>
        </row>
        <row r="1811">
          <cell r="A1811">
            <v>400030922</v>
          </cell>
          <cell r="B1811" t="str">
            <v>CINTA OFERTA FUCSIA 36MMX100MTS</v>
          </cell>
        </row>
        <row r="1812">
          <cell r="A1812">
            <v>400030451</v>
          </cell>
          <cell r="B1812" t="str">
            <v>ETIQUETA BLANCA 40X40 COD BARRAS</v>
          </cell>
        </row>
        <row r="1813">
          <cell r="A1813">
            <v>400040043</v>
          </cell>
          <cell r="B1813" t="str">
            <v>ETIQUETA MARCACION COLORES 100X60</v>
          </cell>
        </row>
        <row r="1814">
          <cell r="A1814">
            <v>400030623</v>
          </cell>
          <cell r="B1814" t="str">
            <v>CAJA MANZANA GOLD 500X333X330</v>
          </cell>
        </row>
        <row r="1815">
          <cell r="A1815">
            <v>400030922</v>
          </cell>
          <cell r="B1815" t="str">
            <v>CINTA OFERTA FUCSIA 36MMX100MTS</v>
          </cell>
        </row>
        <row r="1816">
          <cell r="A1816">
            <v>400030451</v>
          </cell>
          <cell r="B1816" t="str">
            <v>ETIQUETA BLANCA 40X40 COD BARRAS</v>
          </cell>
        </row>
        <row r="1817">
          <cell r="A1817">
            <v>400030922</v>
          </cell>
          <cell r="B1817" t="str">
            <v>CINTA OFERTA FUCSIA 36MMX100MTS</v>
          </cell>
        </row>
        <row r="1818">
          <cell r="A1818">
            <v>400030952</v>
          </cell>
          <cell r="B1818" t="str">
            <v>CAJA GAP DOBLE ALTURA SABRITAS NEGRA</v>
          </cell>
        </row>
        <row r="1819">
          <cell r="A1819">
            <v>400030959</v>
          </cell>
          <cell r="B1819" t="str">
            <v>BOLS TRANSP 235X400 POTINES</v>
          </cell>
        </row>
        <row r="1820">
          <cell r="A1820">
            <v>400040043</v>
          </cell>
          <cell r="B1820" t="str">
            <v>ETIQUETA MARCACION COLORES 100X60</v>
          </cell>
        </row>
        <row r="1821">
          <cell r="A1821">
            <v>400030451</v>
          </cell>
          <cell r="B1821" t="str">
            <v>ETIQUETA BLANCA 40X40 COD BARRAS</v>
          </cell>
        </row>
        <row r="1822">
          <cell r="A1822">
            <v>400040043</v>
          </cell>
          <cell r="B1822" t="str">
            <v>ETIQUETA MARCACION COLORES 100X60</v>
          </cell>
        </row>
        <row r="1823">
          <cell r="A1823">
            <v>400030922</v>
          </cell>
          <cell r="B1823" t="str">
            <v>CINTA OFERTA FUCSIA 36MMX100MTS</v>
          </cell>
        </row>
        <row r="1824">
          <cell r="A1824">
            <v>400030954</v>
          </cell>
          <cell r="B1824" t="str">
            <v>CAJA MORADA GOLD 500X333X222</v>
          </cell>
        </row>
        <row r="1825">
          <cell r="A1825">
            <v>400030959</v>
          </cell>
          <cell r="B1825" t="str">
            <v>BOLS TRANSP 235X400 POTINES</v>
          </cell>
        </row>
        <row r="1826">
          <cell r="A1826">
            <v>400030451</v>
          </cell>
          <cell r="B1826" t="str">
            <v>ETIQUETA BLANCA 40X40 COD BARRAS</v>
          </cell>
        </row>
        <row r="1827">
          <cell r="A1827">
            <v>400040043</v>
          </cell>
          <cell r="B1827" t="str">
            <v>ETIQUETA MARCACION COLORES 100X60</v>
          </cell>
        </row>
        <row r="1828">
          <cell r="A1828">
            <v>400052372</v>
          </cell>
          <cell r="B1828" t="str">
            <v>CAJA E265 NARANJA</v>
          </cell>
        </row>
        <row r="1829">
          <cell r="A1829">
            <v>400059960</v>
          </cell>
          <cell r="B1829" t="str">
            <v>BAG MGTA NAT IMP 25GX12 HAN 400X395 LC2 (Docena)</v>
          </cell>
        </row>
        <row r="1830">
          <cell r="A1830">
            <v>400040043</v>
          </cell>
          <cell r="B1830" t="str">
            <v>ETIQUETA MARCACION COLORES 100X60</v>
          </cell>
        </row>
        <row r="1831">
          <cell r="A1831">
            <v>400052372</v>
          </cell>
          <cell r="B1831" t="str">
            <v>CAJA E265 NARANJA</v>
          </cell>
        </row>
        <row r="1832">
          <cell r="A1832">
            <v>400059955</v>
          </cell>
          <cell r="B1832" t="str">
            <v>BAG MGTA POLLO IMP 25X12 HAN 400X395 LC2 (Docena)</v>
          </cell>
        </row>
        <row r="1833">
          <cell r="A1833">
            <v>400040043</v>
          </cell>
          <cell r="B1833" t="str">
            <v>ETIQUETA MARCACION COLORES 100X60</v>
          </cell>
        </row>
        <row r="1834">
          <cell r="A1834">
            <v>400052672</v>
          </cell>
          <cell r="B1834" t="str">
            <v>CAJA E240 MORADA</v>
          </cell>
        </row>
        <row r="1835">
          <cell r="A1835">
            <v>400061761</v>
          </cell>
          <cell r="B1835" t="str">
            <v>BAG SUPER LONCHERA 271GX12X3 330X410 TR</v>
          </cell>
        </row>
        <row r="1836">
          <cell r="A1836">
            <v>400040043</v>
          </cell>
          <cell r="B1836" t="str">
            <v>ETIQUETA MARCACION COLORES 100X60</v>
          </cell>
        </row>
        <row r="1837">
          <cell r="A1837">
            <v>400052672</v>
          </cell>
          <cell r="B1837" t="str">
            <v>CAJA E240 MORADA</v>
          </cell>
        </row>
        <row r="1838">
          <cell r="A1838">
            <v>400061457</v>
          </cell>
          <cell r="B1838" t="str">
            <v>BAG MEGA LONCHERA 586GX22X3 450X445 TR</v>
          </cell>
        </row>
        <row r="1839">
          <cell r="A1839">
            <v>400040043</v>
          </cell>
          <cell r="B1839" t="str">
            <v>ETIQUETA MARCACION COLORES 100X60</v>
          </cell>
        </row>
        <row r="1840">
          <cell r="A1840">
            <v>400043475</v>
          </cell>
          <cell r="B1840" t="str">
            <v>CAJA TROQUELADA</v>
          </cell>
        </row>
        <row r="1841">
          <cell r="A1841">
            <v>400061762</v>
          </cell>
          <cell r="B1841" t="str">
            <v>BAG SURTIDO ALEGRIA 338GX14X4 380X450 TR</v>
          </cell>
        </row>
        <row r="1842">
          <cell r="A1842">
            <v>400040043</v>
          </cell>
          <cell r="B1842" t="str">
            <v>ETIQUETA MARCACION COLORES 100X60</v>
          </cell>
        </row>
        <row r="1843">
          <cell r="A1843">
            <v>400052671</v>
          </cell>
          <cell r="B1843" t="str">
            <v>CAJA E345 VERDE *SOLO PEDIR USADA*</v>
          </cell>
        </row>
        <row r="1844">
          <cell r="A1844">
            <v>400061625</v>
          </cell>
          <cell r="B1844" t="str">
            <v>BAG ULTRALONCHERA 1392GX50X1 610X510 TR</v>
          </cell>
        </row>
        <row r="1845">
          <cell r="A1845">
            <v>400030952</v>
          </cell>
          <cell r="B1845" t="str">
            <v>CAJA GAP DOBLE ALTURA SABRITAS NEGRA</v>
          </cell>
        </row>
        <row r="1846">
          <cell r="A1846">
            <v>400040043</v>
          </cell>
          <cell r="B1846" t="str">
            <v>ETIQUETA MARCACION COLORES 100X60</v>
          </cell>
        </row>
        <row r="1847">
          <cell r="A1847">
            <v>4000</v>
          </cell>
          <cell r="B1847" t="str">
            <v xml:space="preserve">CINTILLO QUE ENVIA COMERCIAL </v>
          </cell>
        </row>
        <row r="1848">
          <cell r="A1848">
            <v>400040043</v>
          </cell>
          <cell r="B1848" t="str">
            <v>ETIQUETA MARCACION COLORES 100X60</v>
          </cell>
        </row>
        <row r="1849">
          <cell r="A1849">
            <v>400052372</v>
          </cell>
          <cell r="B1849" t="str">
            <v>CAJA E265 NARANJA</v>
          </cell>
        </row>
        <row r="1850">
          <cell r="A1850">
            <v>400059914</v>
          </cell>
          <cell r="B1850" t="str">
            <v>BAG DOR QUESO IMP 34GX10 HAN 334X390 LC2</v>
          </cell>
        </row>
        <row r="1851">
          <cell r="A1851">
            <v>400058147</v>
          </cell>
          <cell r="B1851" t="str">
            <v>BAG IMP HANCO 400X395MM MGT 25 LIMON PR (Docena)</v>
          </cell>
        </row>
        <row r="1852">
          <cell r="A1852">
            <v>400052372</v>
          </cell>
          <cell r="B1852" t="str">
            <v>CAJA E265 NARANJA</v>
          </cell>
        </row>
        <row r="1853">
          <cell r="A1853">
            <v>400040043</v>
          </cell>
          <cell r="B1853" t="str">
            <v>ETIQUETA MARCACION COLORES 100X60</v>
          </cell>
        </row>
        <row r="1854">
          <cell r="A1854">
            <v>400040043</v>
          </cell>
          <cell r="B1854" t="str">
            <v>ETIQUETA MARCACION COLORES 100X60</v>
          </cell>
        </row>
        <row r="1855">
          <cell r="A1855">
            <v>400030625</v>
          </cell>
          <cell r="B1855" t="str">
            <v>CAJA ROJA GOLD 500X333X183</v>
          </cell>
        </row>
        <row r="1856">
          <cell r="A1856">
            <v>400030451</v>
          </cell>
          <cell r="B1856" t="str">
            <v>ETIQUETA BLANCA 40X40 COD BARRAS</v>
          </cell>
        </row>
        <row r="1857">
          <cell r="A1857">
            <v>400052671</v>
          </cell>
          <cell r="B1857" t="str">
            <v>CAJA E345 VERDE *SOLO PEDIR USADA*</v>
          </cell>
        </row>
        <row r="1858">
          <cell r="A1858">
            <v>400062726</v>
          </cell>
          <cell r="B1858" t="str">
            <v>BAG DTD BBQ TRAN 45GX12 HAN 555X412 TR2</v>
          </cell>
        </row>
        <row r="1859">
          <cell r="A1859">
            <v>400040043</v>
          </cell>
          <cell r="B1859" t="str">
            <v>ETIQUETA MARCACION COLORES 100X60</v>
          </cell>
        </row>
        <row r="1860">
          <cell r="A1860">
            <v>400052673</v>
          </cell>
          <cell r="B1860" t="str">
            <v>CAJA E208 ROJA</v>
          </cell>
        </row>
        <row r="1861">
          <cell r="A1861">
            <v>400062723</v>
          </cell>
          <cell r="B1861" t="str">
            <v>BAG DTD BBQ IMP 45GX6 HAN 370X412 TR2</v>
          </cell>
        </row>
        <row r="1862">
          <cell r="A1862">
            <v>400040043</v>
          </cell>
          <cell r="B1862" t="str">
            <v>ETIQUETA MARCACION COLORES 100X60</v>
          </cell>
        </row>
        <row r="1863">
          <cell r="A1863">
            <v>400052672</v>
          </cell>
          <cell r="B1863" t="str">
            <v>CAJA E240 MORADA</v>
          </cell>
        </row>
        <row r="1864">
          <cell r="A1864">
            <v>400059804</v>
          </cell>
          <cell r="B1864" t="str">
            <v>BAG CHEETOS NATURAL 15GX12  </v>
          </cell>
        </row>
        <row r="1865">
          <cell r="A1865">
            <v>400040043</v>
          </cell>
          <cell r="B1865" t="str">
            <v>ETIQUETA MARCACION COLORES 100X60</v>
          </cell>
        </row>
        <row r="1866">
          <cell r="A1866">
            <v>400052372</v>
          </cell>
          <cell r="B1866" t="str">
            <v>CAJA E265 NARANJA</v>
          </cell>
        </row>
        <row r="1867">
          <cell r="A1867">
            <v>400058840</v>
          </cell>
          <cell r="B1867" t="str">
            <v>BAG 380X420 CHEETOS BOLI QUESO 20G LC</v>
          </cell>
        </row>
        <row r="1868">
          <cell r="A1868">
            <v>400040043</v>
          </cell>
          <cell r="B1868" t="str">
            <v>ETIQUETA MARCACION COLORES 100X60</v>
          </cell>
        </row>
        <row r="1869">
          <cell r="A1869">
            <v>400030486</v>
          </cell>
          <cell r="B1869" t="str">
            <v>CINTA OFERTA BLANCA 36MMX100MTS</v>
          </cell>
        </row>
        <row r="1870">
          <cell r="A1870">
            <v>400043475</v>
          </cell>
          <cell r="B1870" t="str">
            <v>CAJA TROQUELADA</v>
          </cell>
        </row>
        <row r="1871">
          <cell r="A1871">
            <v>400040043</v>
          </cell>
          <cell r="B1871" t="str">
            <v>ETIQUETA MARCACION COLORES 100X60</v>
          </cell>
        </row>
        <row r="1872">
          <cell r="A1872">
            <v>400030451</v>
          </cell>
          <cell r="B1872" t="str">
            <v>ETIQUETA BLANCA 40X40 COD BARRAS</v>
          </cell>
        </row>
        <row r="1873">
          <cell r="A1873">
            <v>400030954</v>
          </cell>
          <cell r="B1873" t="str">
            <v>CAJA MORADA GOLD 500X333X222</v>
          </cell>
        </row>
        <row r="1874">
          <cell r="A1874">
            <v>400030451</v>
          </cell>
          <cell r="B1874" t="str">
            <v>ETIQUETA BLANCA 40X40 COD BARRAS</v>
          </cell>
        </row>
        <row r="1875">
          <cell r="A1875">
            <v>400040043</v>
          </cell>
          <cell r="B1875" t="str">
            <v>ETIQUETA MARCACION COLORES 100X60</v>
          </cell>
        </row>
        <row r="1876">
          <cell r="A1876">
            <v>400030954</v>
          </cell>
          <cell r="B1876" t="str">
            <v>CAJA MORADA GOLD 500X333X222</v>
          </cell>
        </row>
        <row r="1877">
          <cell r="A1877">
            <v>400040043</v>
          </cell>
          <cell r="B1877" t="str">
            <v>ETIQUETA MARCACION COLORES 100X60</v>
          </cell>
        </row>
        <row r="1878">
          <cell r="A1878">
            <v>400030451</v>
          </cell>
          <cell r="B1878" t="str">
            <v>ETIQUETA BLANCA 40X40 COD BARRAS</v>
          </cell>
        </row>
        <row r="1879">
          <cell r="A1879">
            <v>400030625</v>
          </cell>
          <cell r="B1879" t="str">
            <v>CAJA ROJA GOLD 500X333X183</v>
          </cell>
        </row>
        <row r="1880">
          <cell r="A1880">
            <v>400040043</v>
          </cell>
          <cell r="B1880" t="str">
            <v>ETIQUETA MARCACION COLORES 100X60</v>
          </cell>
        </row>
        <row r="1881">
          <cell r="A1881">
            <v>400030451</v>
          </cell>
          <cell r="B1881" t="str">
            <v>ETIQUETA BLANCA 40X40 COD BARRAS</v>
          </cell>
        </row>
        <row r="1882">
          <cell r="A1882">
            <v>400030625</v>
          </cell>
          <cell r="B1882" t="str">
            <v>CAJA ROJA GOLD 500X333X183</v>
          </cell>
        </row>
        <row r="1883">
          <cell r="A1883">
            <v>400040043</v>
          </cell>
          <cell r="B1883" t="str">
            <v>ETIQUETA MARCACION COLORES 100X60</v>
          </cell>
        </row>
        <row r="1884">
          <cell r="A1884">
            <v>400030451</v>
          </cell>
          <cell r="B1884" t="str">
            <v>ETIQUETA BLANCA 40X40 COD BARRAS</v>
          </cell>
        </row>
        <row r="1885">
          <cell r="A1885">
            <v>400052673</v>
          </cell>
          <cell r="B1885" t="str">
            <v>CAJA E208 ROJA</v>
          </cell>
        </row>
        <row r="1886">
          <cell r="A1886">
            <v>400062724</v>
          </cell>
          <cell r="B1886" t="str">
            <v>BAG  DTD NAT IMP 45GX6 HAN 370X412 TR2</v>
          </cell>
        </row>
        <row r="1887">
          <cell r="A1887">
            <v>400040043</v>
          </cell>
          <cell r="B1887" t="str">
            <v>ETIQUETA MARCACION COLORES 100X60</v>
          </cell>
        </row>
        <row r="1888">
          <cell r="A1888">
            <v>400040043</v>
          </cell>
          <cell r="B1888" t="str">
            <v>ETIQUETA MARCACION COLORES 100X60</v>
          </cell>
        </row>
        <row r="1889">
          <cell r="A1889">
            <v>400043475</v>
          </cell>
          <cell r="B1889" t="str">
            <v>CAJA TROQUELADA</v>
          </cell>
        </row>
        <row r="1890">
          <cell r="A1890">
            <v>400061456</v>
          </cell>
          <cell r="B1890" t="str">
            <v>BAG LONCHERA D1 236GX10X7 330X390 TR</v>
          </cell>
        </row>
        <row r="1891">
          <cell r="A1891">
            <v>400052672</v>
          </cell>
          <cell r="B1891" t="str">
            <v>CAJA E240 MORADA</v>
          </cell>
        </row>
        <row r="1892">
          <cell r="A1892">
            <v>400040043</v>
          </cell>
          <cell r="B1892" t="str">
            <v>ETIQUETA MARCACION COLORES 100X60</v>
          </cell>
        </row>
        <row r="1893">
          <cell r="A1893">
            <v>400062231</v>
          </cell>
          <cell r="B1893" t="str">
            <v>BAG CHOCLITOS 270G 280X320 (x10) Mtpck</v>
          </cell>
        </row>
        <row r="1894">
          <cell r="A1894">
            <v>400043475</v>
          </cell>
          <cell r="B1894" t="str">
            <v>CAJA TROQUELADA</v>
          </cell>
        </row>
        <row r="1895">
          <cell r="A1895">
            <v>400040043</v>
          </cell>
          <cell r="B1895" t="str">
            <v>ETIQUETA MARCACION COLORES 100X60</v>
          </cell>
        </row>
        <row r="1896">
          <cell r="A1896">
            <v>400063125</v>
          </cell>
          <cell r="B1896" t="str">
            <v>BAG EXTRUIDOS 130G 320X280 TR2(x6)</v>
          </cell>
        </row>
        <row r="1897">
          <cell r="A1897">
            <v>400061915</v>
          </cell>
          <cell r="B1897" t="str">
            <v>BOX TROQUELADA E240 MORADA</v>
          </cell>
        </row>
        <row r="1898">
          <cell r="A1898">
            <v>400040043</v>
          </cell>
          <cell r="B1898" t="str">
            <v>ETIQUETA MARCACION COLORES 100X60</v>
          </cell>
        </row>
        <row r="1899">
          <cell r="A1899">
            <v>400061915</v>
          </cell>
          <cell r="B1899" t="str">
            <v>BOX TROQUELADA E240 MORADA</v>
          </cell>
        </row>
        <row r="1900">
          <cell r="A1900">
            <v>400040043</v>
          </cell>
          <cell r="B1900" t="str">
            <v>ETIQUETA MARCACION COLORES 100X60</v>
          </cell>
        </row>
        <row r="1901">
          <cell r="A1901">
            <v>400061915</v>
          </cell>
          <cell r="B1901" t="str">
            <v>BOX TROQUELADA E240 MORADA</v>
          </cell>
        </row>
        <row r="1902">
          <cell r="A1902">
            <v>400040043</v>
          </cell>
          <cell r="B1902" t="str">
            <v>ETIQUETA MARCACION COLORES 100X60</v>
          </cell>
        </row>
        <row r="1903">
          <cell r="A1903">
            <v>400062727</v>
          </cell>
          <cell r="B1903" t="str">
            <v>BAG DOR DINAM FH Y LIM 40GX6 220X315 TR2(x6)</v>
          </cell>
        </row>
        <row r="1904">
          <cell r="A1904">
            <v>400052372</v>
          </cell>
          <cell r="B1904" t="str">
            <v>CAJA E265 NARANJA</v>
          </cell>
        </row>
        <row r="1905">
          <cell r="A1905">
            <v>400040043</v>
          </cell>
          <cell r="B1905" t="str">
            <v>ETIQUETA MARCACION COLORES 100X60</v>
          </cell>
        </row>
        <row r="1906">
          <cell r="A1906">
            <v>400052672</v>
          </cell>
          <cell r="B1906" t="str">
            <v>CAJA E240 MORADA</v>
          </cell>
        </row>
        <row r="1907">
          <cell r="A1907">
            <v>400040043</v>
          </cell>
          <cell r="B1907" t="str">
            <v>ETIQUETA MARCACION COLORES 100X60</v>
          </cell>
        </row>
        <row r="1908">
          <cell r="A1908">
            <v>400062233</v>
          </cell>
          <cell r="B1908" t="str">
            <v>BAG GUDIZ 224G 400X290 (x8) Mtpck</v>
          </cell>
        </row>
        <row r="1909">
          <cell r="A1909">
            <v>400043475</v>
          </cell>
          <cell r="B1909" t="str">
            <v>CAJA TROQUELADA</v>
          </cell>
        </row>
        <row r="1910">
          <cell r="A1910">
            <v>400040043</v>
          </cell>
          <cell r="B1910" t="str">
            <v>ETIQUETA MARCACION COLORES 100X60</v>
          </cell>
        </row>
        <row r="1911">
          <cell r="A1911">
            <v>400063612</v>
          </cell>
          <cell r="B1911" t="str">
            <v>BAG MARGARITA 25GX6 390X285 NA TR2 (X6)</v>
          </cell>
        </row>
        <row r="1912">
          <cell r="A1912">
            <v>400052672</v>
          </cell>
          <cell r="B1912" t="str">
            <v>CAJA E240 MORADA</v>
          </cell>
        </row>
        <row r="1913">
          <cell r="A1913">
            <v>400040043</v>
          </cell>
          <cell r="B1913" t="str">
            <v>ETIQUETA MARCACION COLORES 100X60</v>
          </cell>
        </row>
        <row r="1914">
          <cell r="A1914">
            <v>400063611</v>
          </cell>
          <cell r="B1914" t="str">
            <v>BAG MARGARITA 25GX9 330X360 NA TR2 (X9)</v>
          </cell>
        </row>
        <row r="1915">
          <cell r="A1915">
            <v>400043475</v>
          </cell>
          <cell r="B1915" t="str">
            <v>CAJA TROQUELADA</v>
          </cell>
        </row>
        <row r="1916">
          <cell r="A1916">
            <v>400040043</v>
          </cell>
          <cell r="B1916" t="str">
            <v>ETIQUETA MARCACION COLORES 100X60</v>
          </cell>
        </row>
        <row r="1917">
          <cell r="A1917">
            <v>400052672</v>
          </cell>
          <cell r="B1917" t="str">
            <v>CAJA E240 MORADA</v>
          </cell>
        </row>
        <row r="1918">
          <cell r="A1918">
            <v>400040043</v>
          </cell>
          <cell r="B1918" t="str">
            <v>ETIQUETA MARCACION COLORES 100X60</v>
          </cell>
        </row>
        <row r="1919">
          <cell r="A1919">
            <v>400030451</v>
          </cell>
          <cell r="B1919" t="str">
            <v>ETIQUETA BLANCA 40X40 COD BARRAS</v>
          </cell>
        </row>
        <row r="1920">
          <cell r="A1920">
            <v>400052372</v>
          </cell>
          <cell r="B1920" t="str">
            <v>CAJA E265 NARANJA</v>
          </cell>
        </row>
        <row r="1921">
          <cell r="A1921">
            <v>400040043</v>
          </cell>
          <cell r="B1921" t="str">
            <v>ETIQUETA MARCACION COLORES 100X60</v>
          </cell>
        </row>
        <row r="1922">
          <cell r="A1922">
            <v>400030451</v>
          </cell>
          <cell r="B1922" t="str">
            <v>ETIQUETA BLANCA 40X40 COD BARRAS</v>
          </cell>
        </row>
        <row r="1923">
          <cell r="A1923">
            <v>400052372</v>
          </cell>
          <cell r="B1923" t="str">
            <v>CAJA E265 NARANJA</v>
          </cell>
        </row>
        <row r="1924">
          <cell r="A1924">
            <v>400040043</v>
          </cell>
          <cell r="B1924" t="str">
            <v>ETIQUETA MARCACION COLORES 100X60</v>
          </cell>
        </row>
        <row r="1925">
          <cell r="A1925">
            <v>400030451</v>
          </cell>
          <cell r="B1925" t="str">
            <v>ETIQUETA BLANCA 40X40 COD BARRAS</v>
          </cell>
        </row>
        <row r="1926">
          <cell r="A1926">
            <v>400030953</v>
          </cell>
          <cell r="B1926" t="str">
            <v>CAJA GAP LOCAL AZUL/SELLE LICORERA</v>
          </cell>
        </row>
        <row r="1927">
          <cell r="A1927">
            <v>400040043</v>
          </cell>
          <cell r="B1927" t="str">
            <v>ETIQUETA MARCACION COLORES 100X60</v>
          </cell>
        </row>
        <row r="1928">
          <cell r="A1928">
            <v>400031061</v>
          </cell>
          <cell r="B1928" t="str">
            <v>STICKER SELLO SEGURIDAD</v>
          </cell>
        </row>
        <row r="1929">
          <cell r="A1929">
            <v>400043475</v>
          </cell>
          <cell r="B1929" t="str">
            <v>CAJA TROQUELADA</v>
          </cell>
        </row>
        <row r="1930">
          <cell r="A1930">
            <v>400030486</v>
          </cell>
          <cell r="B1930" t="str">
            <v>CINTA OFERTA BLANCA 36MMX100MTS</v>
          </cell>
        </row>
        <row r="1931">
          <cell r="A1931">
            <v>400040043</v>
          </cell>
          <cell r="B1931" t="str">
            <v>ETIQUETA MARCACION COLORES 100X60</v>
          </cell>
        </row>
        <row r="1932">
          <cell r="A1932">
            <v>400030451</v>
          </cell>
          <cell r="B1932" t="str">
            <v>ETIQUETA BLANCA 40X40 COD BARRAS</v>
          </cell>
        </row>
        <row r="1933">
          <cell r="A1933">
            <v>400043475</v>
          </cell>
          <cell r="B1933" t="str">
            <v>CAJA TROQUELADA</v>
          </cell>
        </row>
        <row r="1934">
          <cell r="A1934">
            <v>400040043</v>
          </cell>
          <cell r="B1934" t="str">
            <v>ETIQUETA MARCACION COLORES 100X60</v>
          </cell>
        </row>
        <row r="1935">
          <cell r="A1935">
            <v>400030451</v>
          </cell>
          <cell r="B1935" t="str">
            <v>ETIQUETA BLANCA 40X40 COD BARRAS</v>
          </cell>
        </row>
        <row r="1936">
          <cell r="A1936">
            <v>400062725</v>
          </cell>
          <cell r="B1936" t="str">
            <v>BAG DTD NAT TRAN 45GX12 HAN 555X412 TR2</v>
          </cell>
        </row>
        <row r="1937">
          <cell r="A1937">
            <v>400040043</v>
          </cell>
          <cell r="B1937" t="str">
            <v>ETIQUETA MARCACION COLORES 100X60</v>
          </cell>
        </row>
        <row r="1938">
          <cell r="A1938">
            <v>400052671</v>
          </cell>
          <cell r="B1938" t="str">
            <v>CAJA E345 VERDE *SOLO PEDIR USADA*</v>
          </cell>
        </row>
        <row r="1939">
          <cell r="A1939">
            <v>400040043</v>
          </cell>
          <cell r="B1939" t="str">
            <v>ETIQUETA MARCACION COLORES 100X60</v>
          </cell>
        </row>
        <row r="1940">
          <cell r="A1940">
            <v>400052372</v>
          </cell>
          <cell r="B1940" t="str">
            <v>CAJA E265 NARANJA</v>
          </cell>
        </row>
        <row r="1941">
          <cell r="A1941">
            <v>400030451</v>
          </cell>
          <cell r="B1941" t="str">
            <v>ETIQUETA BLANCA 40X40 COD BARRAS</v>
          </cell>
        </row>
        <row r="1942">
          <cell r="A1942">
            <v>4000</v>
          </cell>
          <cell r="B1942" t="str">
            <v xml:space="preserve">CINTILLO QUE ENVIA COMERCIAL </v>
          </cell>
        </row>
        <row r="1943">
          <cell r="A1943">
            <v>400040043</v>
          </cell>
          <cell r="B1943" t="str">
            <v>ETIQUETA MARCACION COLORES 100X60</v>
          </cell>
        </row>
        <row r="1944">
          <cell r="A1944">
            <v>400052672</v>
          </cell>
          <cell r="B1944" t="str">
            <v>CAJA E240 MORADA</v>
          </cell>
        </row>
        <row r="1945">
          <cell r="A1945">
            <v>400030451</v>
          </cell>
          <cell r="B1945" t="str">
            <v>ETIQUETA BLANCA 40X40 COD BARRAS</v>
          </cell>
        </row>
        <row r="1946">
          <cell r="A1946">
            <v>400052672</v>
          </cell>
          <cell r="B1946" t="str">
            <v>CAJA E240 MORADA</v>
          </cell>
        </row>
        <row r="1947">
          <cell r="A1947">
            <v>400040043</v>
          </cell>
          <cell r="B1947" t="str">
            <v>ETIQUETA MARCACION COLORES 100X60</v>
          </cell>
        </row>
        <row r="1948">
          <cell r="A1948">
            <v>400063611</v>
          </cell>
          <cell r="B1948" t="str">
            <v>BAG MARGARITA 25GX9 330X360 NA TR2 (X9)</v>
          </cell>
        </row>
        <row r="1949">
          <cell r="A1949">
            <v>400063172</v>
          </cell>
          <cell r="B1949" t="str">
            <v>CAJA E240 TROQ AZUL OSC</v>
          </cell>
        </row>
        <row r="1950">
          <cell r="A1950">
            <v>400040043</v>
          </cell>
          <cell r="B1950" t="str">
            <v>ETIQUETA MARCACION COLORES 100X60</v>
          </cell>
        </row>
        <row r="1951">
          <cell r="A1951">
            <v>400063172</v>
          </cell>
          <cell r="B1951" t="str">
            <v>CAJA E240 TROQ AZUL OSC</v>
          </cell>
        </row>
        <row r="1952">
          <cell r="A1952">
            <v>400040043</v>
          </cell>
          <cell r="B1952" t="str">
            <v>ETIQUETA MARCACION COLORES 100X60</v>
          </cell>
        </row>
        <row r="1953">
          <cell r="A1953">
            <v>400063172</v>
          </cell>
          <cell r="B1953" t="str">
            <v>CAJA E240 TROQ AZUL OSC</v>
          </cell>
        </row>
        <row r="1954">
          <cell r="A1954">
            <v>400040043</v>
          </cell>
          <cell r="B1954" t="str">
            <v>ETIQUETA MARCACION COLORES 100X60</v>
          </cell>
        </row>
        <row r="1955">
          <cell r="A1955">
            <v>400052372</v>
          </cell>
          <cell r="B1955" t="str">
            <v>CAJA E265</v>
          </cell>
        </row>
        <row r="1956">
          <cell r="A1956">
            <v>400040043</v>
          </cell>
          <cell r="B1956" t="str">
            <v>ETIQUETA MARCACION COLORES 100X60</v>
          </cell>
        </row>
        <row r="1957">
          <cell r="A1957">
            <v>400030451</v>
          </cell>
          <cell r="B1957" t="str">
            <v>ETIQUETA BLANCA COD.BARRA 40X40 DO</v>
          </cell>
        </row>
        <row r="1958">
          <cell r="A1958">
            <v>400030922</v>
          </cell>
          <cell r="B1958" t="str">
            <v>CINTA OFERTA FUCSIA 36MMX100MTS</v>
          </cell>
        </row>
        <row r="1959">
          <cell r="A1959">
            <v>400030952</v>
          </cell>
          <cell r="B1959" t="str">
            <v>CAJA NEGRA DOBLE ALTURA GOLD 500X333X295</v>
          </cell>
        </row>
        <row r="1960">
          <cell r="A1960">
            <v>400040043</v>
          </cell>
          <cell r="B1960" t="str">
            <v>ETIQUETA MARCACION COLORES 100X60</v>
          </cell>
        </row>
        <row r="1961">
          <cell r="A1961">
            <v>400040043</v>
          </cell>
          <cell r="B1961" t="str">
            <v>ETIQUETA MARCACION COLORES 100X60</v>
          </cell>
        </row>
        <row r="1962">
          <cell r="A1962">
            <v>400052372</v>
          </cell>
          <cell r="B1962" t="str">
            <v>CAJA E265</v>
          </cell>
        </row>
        <row r="1963">
          <cell r="A1963">
            <v>400052372</v>
          </cell>
          <cell r="B1963" t="str">
            <v>CAJA E265</v>
          </cell>
        </row>
        <row r="1964">
          <cell r="A1964">
            <v>400040043</v>
          </cell>
          <cell r="B1964" t="str">
            <v>ETIQUETA MARCACION COLORES 100X60</v>
          </cell>
        </row>
        <row r="1965">
          <cell r="A1965">
            <v>400052372</v>
          </cell>
          <cell r="B1965" t="str">
            <v>CAJA E265</v>
          </cell>
        </row>
        <row r="1966">
          <cell r="A1966">
            <v>400040043</v>
          </cell>
          <cell r="B1966" t="str">
            <v>ETIQUETA MARCACION COLORES 100X60</v>
          </cell>
        </row>
        <row r="1967">
          <cell r="A1967">
            <v>400030451</v>
          </cell>
          <cell r="B1967" t="str">
            <v>ETIQUETA BLANCA COD.BARRA 40X40 DO</v>
          </cell>
        </row>
        <row r="1968">
          <cell r="A1968">
            <v>400061916</v>
          </cell>
          <cell r="B1968" t="str">
            <v>BOX TROQUELADA E208</v>
          </cell>
        </row>
        <row r="1969">
          <cell r="A1969">
            <v>400030486</v>
          </cell>
          <cell r="B1969" t="str">
            <v>CINTA OFERTA BLANCA 36MMX100M</v>
          </cell>
        </row>
        <row r="1970">
          <cell r="A1970">
            <v>400040043</v>
          </cell>
          <cell r="B1970" t="str">
            <v>ETIQUETA MARCACION COLORES 100X60</v>
          </cell>
        </row>
        <row r="1971">
          <cell r="A1971">
            <v>400030451</v>
          </cell>
          <cell r="B1971" t="str">
            <v>ETIQUETA BLANCA COD.BARRA 40X40 DO</v>
          </cell>
        </row>
        <row r="1972">
          <cell r="A1972">
            <v>400065238</v>
          </cell>
          <cell r="B1972" t="str">
            <v>BOX TROQUELADA E240 MARGARITA</v>
          </cell>
        </row>
        <row r="1973">
          <cell r="A1973">
            <v>400040043</v>
          </cell>
          <cell r="B1973" t="str">
            <v>ETIQUETA MARCACION COLORES 100X60</v>
          </cell>
        </row>
        <row r="1974">
          <cell r="A1974">
            <v>400065238</v>
          </cell>
          <cell r="B1974" t="str">
            <v>BOX TROQUELADA E240 MARGARITA</v>
          </cell>
        </row>
        <row r="1975">
          <cell r="A1975">
            <v>400040043</v>
          </cell>
          <cell r="B1975" t="str">
            <v>ETIQUETA MARCACION COLORES 100X60</v>
          </cell>
        </row>
        <row r="1976">
          <cell r="A1976">
            <v>300065338</v>
          </cell>
          <cell r="B1976" t="str">
            <v>DETODITO NATURAL 45GX60X1</v>
          </cell>
        </row>
        <row r="1977">
          <cell r="A1977">
            <v>300065189</v>
          </cell>
          <cell r="B1977" t="str">
            <v>CHOCLITOS LIMON 170GX19X1</v>
          </cell>
        </row>
        <row r="1978">
          <cell r="A1978">
            <v>300065339</v>
          </cell>
          <cell r="B1978" t="str">
            <v>DETODITO BBQ 45GX60X1</v>
          </cell>
        </row>
        <row r="1979">
          <cell r="A1979">
            <v>300065646</v>
          </cell>
          <cell r="B1979" t="str">
            <v>MARGARITA POLLO 105GX18X1 PROMO H2225</v>
          </cell>
        </row>
        <row r="1980">
          <cell r="A1980">
            <v>300065647</v>
          </cell>
          <cell r="B1980" t="str">
            <v>MARGARITA LIMON 105GX18X1 PROMO H225</v>
          </cell>
        </row>
        <row r="1981">
          <cell r="A1981">
            <v>300065472</v>
          </cell>
          <cell r="B1981" t="str">
            <v>CHOCLITOS LIMON 170GX19X1 MAQ</v>
          </cell>
        </row>
        <row r="1982">
          <cell r="A1982">
            <v>300064890</v>
          </cell>
          <cell r="B1982" t="str">
            <v>PROMO DORITOS 408GX6X1 PAGUE 10 LLEVE 12</v>
          </cell>
        </row>
        <row r="1983">
          <cell r="A1983">
            <v>300065630</v>
          </cell>
          <cell r="B1983" t="str">
            <v>DORITOS BARBECUE 41GX72X1</v>
          </cell>
        </row>
        <row r="1984">
          <cell r="A1984">
            <v>300058040</v>
          </cell>
          <cell r="B1984" t="str">
            <v>DETODITO LIMON 45GX72X1</v>
          </cell>
        </row>
        <row r="1985">
          <cell r="A1985">
            <v>400065220</v>
          </cell>
          <cell r="B1985" t="str">
            <v>BOX TROQUELADA E240 CHOCLITOS</v>
          </cell>
        </row>
        <row r="1986">
          <cell r="A1986">
            <v>400068350</v>
          </cell>
          <cell r="B1986" t="str">
            <v>BAG DOR MIXTA IMP 420G 334X390</v>
          </cell>
        </row>
        <row r="1987">
          <cell r="A1987">
            <v>400063171</v>
          </cell>
          <cell r="B1987" t="str">
            <v>CAJA E208 TROQ AZUL CELESTE</v>
          </cell>
        </row>
        <row r="1988">
          <cell r="A1988">
            <v>300066631</v>
          </cell>
          <cell r="B1988" t="str">
            <v>MARGARITA OND PICANA 105GX18X1</v>
          </cell>
        </row>
        <row r="1989">
          <cell r="A1989">
            <v>300066632</v>
          </cell>
          <cell r="B1989" t="str">
            <v>MARGARITA HOGAO 105GX18X1</v>
          </cell>
        </row>
        <row r="1048388">
          <cell r="A1048388" t="str">
            <v>ITEM</v>
          </cell>
          <cell r="B1048388" t="str">
            <v>DESCRIPCION</v>
          </cell>
        </row>
        <row r="1048389">
          <cell r="A1048389">
            <v>400030481</v>
          </cell>
          <cell r="B1048389" t="str">
            <v>CAJA GAP SMKT ROJA</v>
          </cell>
        </row>
        <row r="1048390">
          <cell r="A1048390">
            <v>400030518</v>
          </cell>
          <cell r="B1048390" t="str">
            <v>CAJA PEPSICO NARANJA</v>
          </cell>
        </row>
        <row r="1048391">
          <cell r="A1048391">
            <v>400030549</v>
          </cell>
          <cell r="B1048391" t="str">
            <v>CAJA MANI DOYPACK</v>
          </cell>
        </row>
        <row r="1048392">
          <cell r="A1048392">
            <v>400030623</v>
          </cell>
          <cell r="B1048392" t="str">
            <v>CAJA MANZANA GOLD 500X333X330</v>
          </cell>
        </row>
        <row r="1048393">
          <cell r="A1048393">
            <v>400030624</v>
          </cell>
          <cell r="B1048393" t="str">
            <v>CAJA CELESTE GOLD 500X333X270</v>
          </cell>
        </row>
        <row r="1048394">
          <cell r="A1048394">
            <v>400030625</v>
          </cell>
          <cell r="B1048394" t="str">
            <v>CAJA ROJA GOLD 500X333X183</v>
          </cell>
        </row>
        <row r="1048395">
          <cell r="A1048395">
            <v>400030951</v>
          </cell>
          <cell r="B1048395" t="str">
            <v>CAJA AZUL DOBLE ALTURA GOLD 500X333X295</v>
          </cell>
        </row>
        <row r="1048396">
          <cell r="A1048396">
            <v>400030952</v>
          </cell>
          <cell r="B1048396" t="str">
            <v>CAJA GAP DOBLE ALTURA SABRITAS NEGRA</v>
          </cell>
        </row>
        <row r="1048397">
          <cell r="A1048397">
            <v>400030954</v>
          </cell>
          <cell r="B1048397" t="str">
            <v>CAJA MORADA GOLD 500X333X222</v>
          </cell>
        </row>
        <row r="1048398">
          <cell r="A1048398">
            <v>400036481</v>
          </cell>
          <cell r="B1048398" t="str">
            <v>CAJA EXPORTACION POPCORN</v>
          </cell>
        </row>
        <row r="1048399">
          <cell r="A1048399">
            <v>400052372</v>
          </cell>
          <cell r="B1048399" t="str">
            <v>CAJA E265 NARANJA</v>
          </cell>
        </row>
        <row r="1048400">
          <cell r="A1048400">
            <v>400043475</v>
          </cell>
          <cell r="B1048400" t="str">
            <v>CAJA TROQUELADA</v>
          </cell>
        </row>
        <row r="1048401">
          <cell r="A1048401">
            <v>400030953</v>
          </cell>
          <cell r="B1048401" t="str">
            <v>CAJA GAP LOCAL AZUL/SELLE LICORERA</v>
          </cell>
        </row>
        <row r="1048402">
          <cell r="A1048402">
            <v>400040043</v>
          </cell>
          <cell r="B1048402" t="str">
            <v>ETIQUETA MARCACION COLORES 100X60</v>
          </cell>
        </row>
        <row r="1048403">
          <cell r="A1048403">
            <v>400039504</v>
          </cell>
          <cell r="B1048403" t="str">
            <v>BOLSA ULTRA LONCHERA 1357GX50</v>
          </cell>
        </row>
        <row r="1048404">
          <cell r="A1048404">
            <v>400039505</v>
          </cell>
          <cell r="B1048404" t="str">
            <v>BOLSA HIPER LONCHERA 770X30</v>
          </cell>
        </row>
        <row r="1048405">
          <cell r="A1048405">
            <v>400039508</v>
          </cell>
          <cell r="B1048405" t="str">
            <v>BOLSA MEGA LONCHERA 558G X24</v>
          </cell>
        </row>
        <row r="1048406">
          <cell r="A1048406">
            <v>400051193</v>
          </cell>
          <cell r="B1048406" t="str">
            <v>BAG SURTIDO ALEGRIA 538G</v>
          </cell>
        </row>
        <row r="1048407">
          <cell r="A1048407">
            <v>400051194</v>
          </cell>
          <cell r="B1048407" t="str">
            <v>BAG ULTRA LONCHERA 1335G</v>
          </cell>
        </row>
        <row r="1048408">
          <cell r="A1048408">
            <v>400051195</v>
          </cell>
          <cell r="B1048408" t="str">
            <v>BAG HIPER LONCHERA 764G</v>
          </cell>
        </row>
        <row r="1048409">
          <cell r="A1048409">
            <v>400054235</v>
          </cell>
          <cell r="B1048409" t="str">
            <v>BOLSA SURTIDO ARA 538G MF</v>
          </cell>
        </row>
        <row r="1048410">
          <cell r="A1048410">
            <v>400054237</v>
          </cell>
          <cell r="B1048410" t="str">
            <v>BAG ULTRA LONCHERA 1335G MF</v>
          </cell>
        </row>
        <row r="1048411">
          <cell r="A1048411">
            <v>400054238</v>
          </cell>
          <cell r="B1048411" t="str">
            <v>BOLSA HIPER LONCHERA 764GX2 MF</v>
          </cell>
        </row>
        <row r="1048412">
          <cell r="A1048412">
            <v>400054239</v>
          </cell>
          <cell r="B1048412" t="str">
            <v>BOLSA MEGA LONCHERA 558GX24 MF</v>
          </cell>
        </row>
        <row r="1048413">
          <cell r="A1048413">
            <v>400039509</v>
          </cell>
          <cell r="B1048413" t="str">
            <v>BOLSA SUPER LONCHERA 266G X12</v>
          </cell>
        </row>
        <row r="1048414">
          <cell r="A1048414">
            <v>400043265</v>
          </cell>
          <cell r="B1048414" t="str">
            <v>BOLSA SUPER LONCHERA 261G X12</v>
          </cell>
        </row>
        <row r="1048415">
          <cell r="A1048415">
            <v>400044360</v>
          </cell>
          <cell r="B1048415" t="str">
            <v>BOLSA LONCHERA D1 261G X 10</v>
          </cell>
        </row>
        <row r="1048416">
          <cell r="A1048416">
            <v>400054236</v>
          </cell>
          <cell r="B1048416" t="str">
            <v>BOLSA LONCHERA D1 261GX7 MF</v>
          </cell>
        </row>
        <row r="1048417">
          <cell r="A1048417">
            <v>400054300</v>
          </cell>
          <cell r="B1048417" t="str">
            <v>BOLSA SUPER LONCHERA 266GX12 MF</v>
          </cell>
        </row>
        <row r="1048418">
          <cell r="A1048418">
            <v>400030451</v>
          </cell>
          <cell r="B1048418" t="str">
            <v>ETIQUETA BLANCA 40X40 COD BARRAS</v>
          </cell>
        </row>
        <row r="1048419">
          <cell r="A1048419">
            <v>400030459</v>
          </cell>
          <cell r="B1048419" t="str">
            <v>CINTA PPN TRANSP. 48MMX500MTS</v>
          </cell>
        </row>
        <row r="1048420">
          <cell r="A1048420">
            <v>400030465</v>
          </cell>
          <cell r="B1048420" t="str">
            <v>CINTA OFERTA AMARILLA 36MMX100MTS</v>
          </cell>
        </row>
        <row r="1048421">
          <cell r="A1048421">
            <v>400030517</v>
          </cell>
          <cell r="B1048421" t="str">
            <v>BOLS TRANSP 420X470</v>
          </cell>
        </row>
        <row r="1048422">
          <cell r="A1048422">
            <v>400030530</v>
          </cell>
          <cell r="B1048422" t="str">
            <v>STICKER PRECIO ESPECIAL</v>
          </cell>
        </row>
        <row r="1048423">
          <cell r="A1048423">
            <v>400030676</v>
          </cell>
          <cell r="B1048423" t="str">
            <v>CINTA TRANSP 3M REF 311 48MMX100MTS</v>
          </cell>
        </row>
        <row r="1048424">
          <cell r="A1048424">
            <v>400030733</v>
          </cell>
          <cell r="B1048424" t="str">
            <v>BOLS MGTA ONDULAD TOMATE 32GX10 335X450</v>
          </cell>
        </row>
        <row r="1048425">
          <cell r="A1048425">
            <v>400030774</v>
          </cell>
          <cell r="B1048425" t="str">
            <v>BOLS MGTA SURTIDA 25GX24 500X430</v>
          </cell>
        </row>
        <row r="1048426">
          <cell r="A1048426">
            <v>400030831</v>
          </cell>
          <cell r="B1048426" t="str">
            <v>ETIQUETA MARCACION COLORES 90X100</v>
          </cell>
        </row>
        <row r="1048427">
          <cell r="A1048427">
            <v>400030832</v>
          </cell>
          <cell r="B1048427" t="str">
            <v>STICKER MEGA LONCHERA PRECIO ESPECIAL</v>
          </cell>
        </row>
        <row r="1048428">
          <cell r="A1048428">
            <v>400030882</v>
          </cell>
          <cell r="B1048428" t="str">
            <v>CARTON PAGUE 12 LLEVE 16 PAPA LIMON</v>
          </cell>
        </row>
        <row r="1048429">
          <cell r="A1048429">
            <v>400030883</v>
          </cell>
          <cell r="B1048429" t="str">
            <v>CARTON PAGUE 12 LLEVE 16 PAPA NATURAL</v>
          </cell>
        </row>
        <row r="1048430">
          <cell r="A1048430">
            <v>400030884</v>
          </cell>
          <cell r="B1048430" t="str">
            <v>CARTON PAGUE 12 LLEVE 16 PAPA POLLO</v>
          </cell>
        </row>
        <row r="1048431">
          <cell r="A1048431">
            <v>400030911</v>
          </cell>
          <cell r="B1048431" t="str">
            <v>BOLS IMP PAPA SURT 25GX15 330X470</v>
          </cell>
        </row>
        <row r="1048432">
          <cell r="A1048432">
            <v>400030912</v>
          </cell>
          <cell r="B1048432" t="str">
            <v>NUEVA TIRA GENERICA X 6</v>
          </cell>
        </row>
        <row r="1048433">
          <cell r="A1048433">
            <v>400030922</v>
          </cell>
          <cell r="B1048433" t="str">
            <v>CINTA OFERTA FUCSIA 36MMX100MTS</v>
          </cell>
        </row>
        <row r="1048434">
          <cell r="A1048434">
            <v>400030947</v>
          </cell>
          <cell r="B1048434" t="str">
            <v>DISPLAY QUAKER AVENA SURTIDO  608GX20</v>
          </cell>
        </row>
        <row r="1048435">
          <cell r="A1048435">
            <v>400030948</v>
          </cell>
          <cell r="B1048435" t="str">
            <v>BOLS TRANSP 380X500</v>
          </cell>
        </row>
        <row r="1048436">
          <cell r="A1048436">
            <v>400030959</v>
          </cell>
          <cell r="B1048436" t="str">
            <v>BOLS TRANSP 235X400 POTINES</v>
          </cell>
        </row>
        <row r="1048437">
          <cell r="A1048437">
            <v>400030960</v>
          </cell>
          <cell r="B1048437" t="str">
            <v>BOLS TRANSP 237X205 CHOKIS</v>
          </cell>
        </row>
        <row r="1048438">
          <cell r="A1048438">
            <v>400031017</v>
          </cell>
          <cell r="B1048438" t="str">
            <v>BOLS TRANSP 400X430</v>
          </cell>
        </row>
        <row r="1048439">
          <cell r="A1048439">
            <v>400031018</v>
          </cell>
          <cell r="B1048439" t="str">
            <v>DISPLAY FRITOLAY URUBAMBA 38GX12</v>
          </cell>
        </row>
        <row r="1048440">
          <cell r="A1048440">
            <v>400031023</v>
          </cell>
          <cell r="B1048440" t="str">
            <v>LINER TIRA PERFORADA 100MM X 30MM</v>
          </cell>
        </row>
        <row r="1048441">
          <cell r="A1048441">
            <v>400031061</v>
          </cell>
          <cell r="B1048441" t="str">
            <v>STICKER SELLO SEGURIDAD</v>
          </cell>
        </row>
        <row r="1048442">
          <cell r="A1048442">
            <v>400031082</v>
          </cell>
          <cell r="B1048442" t="str">
            <v>DISPLAY  CHOKIS CHISPAS 40GX6X3</v>
          </cell>
        </row>
        <row r="1048443">
          <cell r="A1048443">
            <v>400031665</v>
          </cell>
          <cell r="B1048443" t="str">
            <v>DISPLAY DETODITO MAÑANITA  40GX6</v>
          </cell>
        </row>
        <row r="1048444">
          <cell r="A1048444">
            <v>400032106</v>
          </cell>
          <cell r="B1048444" t="str">
            <v>DISPLAY CHOKIS CHISPAS 40GX6X3 V1</v>
          </cell>
        </row>
        <row r="1048445">
          <cell r="A1048445">
            <v>400032107</v>
          </cell>
          <cell r="B1048445" t="str">
            <v>DISPLAY CHOKIS EXTRA 52GX6X3 V1</v>
          </cell>
        </row>
        <row r="1048446">
          <cell r="A1048446">
            <v>400032284</v>
          </cell>
          <cell r="B1048446" t="str">
            <v>DISPLAY CHOKIS CHISPAS SURTIDO 660G</v>
          </cell>
        </row>
        <row r="1048447">
          <cell r="A1048447">
            <v>400033356</v>
          </cell>
          <cell r="B1048447" t="str">
            <v>BOLS LONCHERA SURTIDO X50 600X500</v>
          </cell>
        </row>
        <row r="1048448">
          <cell r="A1048448">
            <v>400033590</v>
          </cell>
          <cell r="B1048448" t="str">
            <v>BOLS SURTIDO HIPER LONCH X30 510X500</v>
          </cell>
        </row>
        <row r="1048449">
          <cell r="A1048449">
            <v>400033597</v>
          </cell>
          <cell r="B1048449" t="str">
            <v>DISPLAY MAMUT BLANCO 13GX42 CO/PE</v>
          </cell>
        </row>
        <row r="1048450">
          <cell r="A1048450">
            <v>400033598</v>
          </cell>
          <cell r="B1048450" t="str">
            <v>DISPLAY MAMUT OSCURO 13GX42 CO/PE</v>
          </cell>
        </row>
        <row r="1048451">
          <cell r="A1048451">
            <v>400034339</v>
          </cell>
          <cell r="B1048451" t="str">
            <v>STRECH FILM 45 CM CALIBRE 0.8 X 600 MTS</v>
          </cell>
        </row>
        <row r="1048452">
          <cell r="A1048452">
            <v>400035265</v>
          </cell>
          <cell r="B1048452" t="str">
            <v>BOLS SUNBITES WAVY 35GX4 340X290</v>
          </cell>
        </row>
        <row r="1048453">
          <cell r="A1048453">
            <v>400035342</v>
          </cell>
          <cell r="B1048453" t="str">
            <v>BOL TRANSP MARGARITA 25GX24UND 500X480</v>
          </cell>
        </row>
        <row r="1048454">
          <cell r="A1048454">
            <v>400036595</v>
          </cell>
          <cell r="B1048454" t="str">
            <v>BOLS IMP SURTIDO ULTRA LONCHERA 610X510</v>
          </cell>
        </row>
        <row r="1048455">
          <cell r="A1048455">
            <v>400036820</v>
          </cell>
          <cell r="B1048455" t="str">
            <v>DISPLAY MANIMOTO SUAVE CLASICO 180GX6</v>
          </cell>
        </row>
        <row r="1048456">
          <cell r="A1048456">
            <v>400036821</v>
          </cell>
          <cell r="B1048456" t="str">
            <v>DISPLAY MANIMOTO SUAVE LIMON 180GX6</v>
          </cell>
        </row>
        <row r="1048457">
          <cell r="A1048457">
            <v>400037020</v>
          </cell>
          <cell r="B1048457" t="str">
            <v>BOLS PROMO MAXXI SURTIDO X30 500X430 V2</v>
          </cell>
        </row>
        <row r="1048458">
          <cell r="A1048458">
            <v>400037067</v>
          </cell>
          <cell r="B1048458" t="str">
            <v>BOLS TRAN DORITOS DINAMITA 42GX6 320X260</v>
          </cell>
        </row>
        <row r="1048459">
          <cell r="A1048459">
            <v>400037309</v>
          </cell>
          <cell r="B1048459" t="str">
            <v>BOLS MINI CHOKIS 32GX8 230X660</v>
          </cell>
        </row>
        <row r="1048460">
          <cell r="A1048460">
            <v>400037320</v>
          </cell>
          <cell r="B1048460" t="str">
            <v>BOLS TRANSP MINI CHOKIS 32GX8 230X660</v>
          </cell>
        </row>
        <row r="1048461">
          <cell r="A1048461">
            <v>400037365</v>
          </cell>
          <cell r="B1048461" t="str">
            <v>BOLS IMPRESA SURTIDO X22 440X410</v>
          </cell>
        </row>
        <row r="1048462">
          <cell r="A1048462">
            <v>400037510</v>
          </cell>
          <cell r="B1048462" t="str">
            <v>BOLS IMP CHOKIS FUDGE X20 200X230</v>
          </cell>
        </row>
        <row r="1048463">
          <cell r="A1048463">
            <v>400037548</v>
          </cell>
          <cell r="B1048463" t="str">
            <v>BOLS DE TODITO POPCORN 45GX6 400X340</v>
          </cell>
        </row>
        <row r="1048464">
          <cell r="A1048464">
            <v>400038515</v>
          </cell>
          <cell r="B1048464" t="str">
            <v>DISPLAY QUAKER AVENA SURTIDO 620GX20</v>
          </cell>
        </row>
        <row r="1048465">
          <cell r="A1048465">
            <v>400039506</v>
          </cell>
          <cell r="B1048465" t="str">
            <v>BOLSA LONCHERA FAVORITA  324GX12</v>
          </cell>
        </row>
        <row r="1048466">
          <cell r="A1048466">
            <v>400041303</v>
          </cell>
          <cell r="B1048466" t="str">
            <v>DISPLAY MANIMOTO MIX LIMON 65GX9</v>
          </cell>
        </row>
        <row r="1048467">
          <cell r="A1048467">
            <v>400041305</v>
          </cell>
          <cell r="B1048467" t="str">
            <v>DISPLAY MANIMOTO MIX NATURAL 65GX9</v>
          </cell>
        </row>
        <row r="1048468">
          <cell r="A1048468">
            <v>400041308</v>
          </cell>
          <cell r="B1048468" t="str">
            <v>DISPLAY MANIMOTO MIX LIMON 145GX6</v>
          </cell>
        </row>
        <row r="1048469">
          <cell r="A1048469">
            <v>400041310</v>
          </cell>
          <cell r="B1048469" t="str">
            <v>DISPLAY MANIMOTO MIX NATURAL 145GX6</v>
          </cell>
        </row>
        <row r="1048470">
          <cell r="A1048470">
            <v>400042846</v>
          </cell>
          <cell r="B1048470" t="str">
            <v>BOLS JACKS ROSQUITAS 19GX12 360X400</v>
          </cell>
        </row>
        <row r="1048471">
          <cell r="A1048471">
            <v>400043248</v>
          </cell>
          <cell r="B1048471" t="str">
            <v>DISPLAY SURTIDO MM MIX 585G 9UN</v>
          </cell>
        </row>
        <row r="1048472">
          <cell r="A1048472">
            <v>400043309</v>
          </cell>
          <cell r="B1048472" t="str">
            <v>CINTA OFERTA BOWL 36MMX100MTS</v>
          </cell>
        </row>
        <row r="1048473">
          <cell r="A1048473">
            <v>400044093</v>
          </cell>
          <cell r="B1048473" t="str">
            <v>DISP MANI NAKED SURTIDO 40GX12 480G</v>
          </cell>
        </row>
        <row r="1048474">
          <cell r="A1048474">
            <v>400044094</v>
          </cell>
          <cell r="B1048474" t="str">
            <v>DISP MANI NAKED SAL Y LIMON 40GX12 480G</v>
          </cell>
        </row>
        <row r="1048475">
          <cell r="A1048475">
            <v>400044487</v>
          </cell>
          <cell r="B1048475" t="str">
            <v>BOLS DTD MAÑANITA 40GX6 400X210X60X60 V2</v>
          </cell>
        </row>
        <row r="1048476">
          <cell r="A1048476">
            <v>400046628</v>
          </cell>
          <cell r="B1048476" t="str">
            <v>DISPLAY CHOKIS CHISPAS 37GX6X3</v>
          </cell>
        </row>
        <row r="1048477">
          <cell r="A1048477">
            <v>400048000</v>
          </cell>
          <cell r="B1048477" t="str">
            <v>BOLSA IMP HANCO 400X395MM MGTA 25G NAT</v>
          </cell>
        </row>
        <row r="1048478">
          <cell r="A1048478">
            <v>400048001</v>
          </cell>
          <cell r="B1048478" t="str">
            <v>BOLSA IMP HANCO 400X395MM MGTA 25G POLLO</v>
          </cell>
        </row>
        <row r="1048479">
          <cell r="A1048479">
            <v>400048002</v>
          </cell>
          <cell r="B1048479" t="str">
            <v>BOLSA IMP HANCO 400X395MM MGTA LIMON 25G</v>
          </cell>
        </row>
        <row r="1048480">
          <cell r="A1048480">
            <v>400050130</v>
          </cell>
          <cell r="B1048480" t="str">
            <v>DISPLAY CHOKIS CHISPAS 7X57G</v>
          </cell>
        </row>
        <row r="1048481">
          <cell r="A1048481">
            <v>400050341</v>
          </cell>
          <cell r="B1048481" t="str">
            <v>CINTA OFERTA QUAKER 36MMX50M</v>
          </cell>
        </row>
        <row r="1048482">
          <cell r="A1048482">
            <v>400050342</v>
          </cell>
          <cell r="B1048482" t="str">
            <v>CINTA OFERTA CHOKIS 36MMX50M</v>
          </cell>
        </row>
        <row r="1048483">
          <cell r="A1048483">
            <v>400050344</v>
          </cell>
          <cell r="B1048483" t="str">
            <v>CINTA OFERTA CHEETOS 36MMX50MTS</v>
          </cell>
        </row>
        <row r="1048484">
          <cell r="A1048484">
            <v>400051550</v>
          </cell>
          <cell r="B1048484" t="str">
            <v>DISPLAY CHOKIS CHISPAS 7X57G TROQ</v>
          </cell>
        </row>
        <row r="1048485">
          <cell r="A1048485">
            <v>400051649</v>
          </cell>
          <cell r="B1048485" t="str">
            <v>CINTA PROMO 36MM SO G MAR COL</v>
          </cell>
        </row>
        <row r="1048486">
          <cell r="A1048486">
            <v>400051840</v>
          </cell>
          <cell r="B1048486" t="str">
            <v>CINTA PROMO 36MM SO EXT COL</v>
          </cell>
        </row>
        <row r="1048487">
          <cell r="A1048487">
            <v>400051842</v>
          </cell>
          <cell r="B1048487" t="str">
            <v>CINTA PROMO 36MM G MANIM COL</v>
          </cell>
        </row>
        <row r="1048488">
          <cell r="A1048488">
            <v>400052226</v>
          </cell>
          <cell r="B1048488" t="str">
            <v>STICKER SECU DISP PROMO 35MM COL</v>
          </cell>
        </row>
        <row r="1048489">
          <cell r="A1048489">
            <v>400052371</v>
          </cell>
          <cell r="B1048489" t="str">
            <v>DISPLAY SABR PROMO MARG+DELA COL</v>
          </cell>
        </row>
        <row r="1048490">
          <cell r="A1048490">
            <v>400039507</v>
          </cell>
          <cell r="B1048490" t="str">
            <v>BOLSA SURTIDO ARA  541G</v>
          </cell>
        </row>
        <row r="1048491">
          <cell r="A1048491">
            <v>400053431</v>
          </cell>
          <cell r="B1048491" t="str">
            <v>DISPLAY QUAKER AVENA SURTIDO 620GX20 LC</v>
          </cell>
        </row>
        <row r="1048492">
          <cell r="A1048492">
            <v>400054234</v>
          </cell>
          <cell r="B1048492" t="str">
            <v>DISPLAY CHOKIS CHISPAS 37GX6X3 LC</v>
          </cell>
        </row>
        <row r="1048493">
          <cell r="A1048493">
            <v>400047917</v>
          </cell>
          <cell r="B1048493" t="str">
            <v>BOLSA IMP HANCO 320X340MM DOR QUESO</v>
          </cell>
        </row>
        <row r="1048494">
          <cell r="A1048494">
            <v>400052673</v>
          </cell>
          <cell r="B1048494" t="str">
            <v>CAJA E208 ROJA</v>
          </cell>
        </row>
        <row r="1048495">
          <cell r="A1048495">
            <v>400052672</v>
          </cell>
          <cell r="B1048495" t="str">
            <v>CAJA E240 MORADA</v>
          </cell>
        </row>
        <row r="1048496">
          <cell r="A1048496">
            <v>400052372</v>
          </cell>
          <cell r="B1048496" t="str">
            <v>CAJA E265 NARANJA</v>
          </cell>
        </row>
        <row r="1048497">
          <cell r="A1048497">
            <v>400052373</v>
          </cell>
          <cell r="B1048497" t="str">
            <v>CAJA E310 NEGRA</v>
          </cell>
        </row>
        <row r="1048498">
          <cell r="A1048498">
            <v>400052671</v>
          </cell>
          <cell r="B1048498" t="str">
            <v>CAJA E345 VERDE *SOLO PEDIR USADA*</v>
          </cell>
        </row>
        <row r="1048499">
          <cell r="A1048499">
            <v>1200000352</v>
          </cell>
          <cell r="B1048499" t="str">
            <v>ESTIBAS PEPSICO RENTA</v>
          </cell>
        </row>
        <row r="1048500">
          <cell r="A1048500">
            <v>1100000140</v>
          </cell>
          <cell r="B1048500" t="str">
            <v>CAJA CARTON RECUPERADA</v>
          </cell>
        </row>
        <row r="1048501">
          <cell r="A1048501">
            <v>1100000142</v>
          </cell>
          <cell r="B1048501" t="str">
            <v>CAJA PLASTICA RECUPERADA</v>
          </cell>
        </row>
        <row r="1048502">
          <cell r="A1048502">
            <v>400053453</v>
          </cell>
          <cell r="B1048502" t="str">
            <v>DISPLAY MAMUT OSCURO 13GX42 CO PE LC</v>
          </cell>
        </row>
        <row r="1048503">
          <cell r="A1048503">
            <v>400053454</v>
          </cell>
          <cell r="B1048503" t="str">
            <v>DISPLAY MAMUT BLANCO 13GX42 CO PE LC</v>
          </cell>
        </row>
        <row r="1048504">
          <cell r="A1048504">
            <v>400054452</v>
          </cell>
          <cell r="B1048504" t="str">
            <v>BAG IMP PAPA SURT 25G 330X470 LC (Quicena)</v>
          </cell>
        </row>
        <row r="1048505">
          <cell r="A1048505">
            <v>400056119</v>
          </cell>
          <cell r="B1048505" t="str">
            <v>BOLS MGTA SURTIDA 497X430 25GX24 LC (Surtx24)</v>
          </cell>
        </row>
        <row r="1048506">
          <cell r="A1048506">
            <v>400055768</v>
          </cell>
          <cell r="B1048506" t="str">
            <v>BAG SUPER LONCHERA 271GX12</v>
          </cell>
        </row>
        <row r="1048507">
          <cell r="A1048507">
            <v>400055887</v>
          </cell>
          <cell r="B1048507" t="str">
            <v>BAG MEGA LONCHERA 586GX22</v>
          </cell>
        </row>
        <row r="1048508">
          <cell r="A1048508">
            <v>400056118</v>
          </cell>
          <cell r="B1048508" t="str">
            <v>BAG SURTIDO ALEGRIA 447GX18</v>
          </cell>
        </row>
        <row r="1048509">
          <cell r="A1048509">
            <v>400055769</v>
          </cell>
          <cell r="B1048509" t="str">
            <v>BAG LONCHERA D1 266GX12</v>
          </cell>
        </row>
        <row r="1048510">
          <cell r="A1048510">
            <v>400055888</v>
          </cell>
          <cell r="B1048510" t="str">
            <v>BAG ULTRALONCHERA 1392GX50</v>
          </cell>
        </row>
        <row r="1048511">
          <cell r="A1048511">
            <v>400054419</v>
          </cell>
          <cell r="B1048511" t="str">
            <v>BAG IMP HANCO 400X395MM 25G POLLO LC</v>
          </cell>
        </row>
        <row r="1048512">
          <cell r="A1048512">
            <v>400054709</v>
          </cell>
          <cell r="B1048512" t="str">
            <v>BAG IMPHANCO 320X330 DOR QUESO 34GX10 LC</v>
          </cell>
        </row>
        <row r="1048513">
          <cell r="A1048513">
            <v>400034339</v>
          </cell>
          <cell r="B1048513" t="str">
            <v>STRECH FILM 45 CM CALIBRE 0.8 X 600 MTS</v>
          </cell>
        </row>
        <row r="1048514">
          <cell r="A1048514">
            <v>400054079</v>
          </cell>
          <cell r="B1048514" t="str">
            <v>BAG MGTA NAT 25G HANCO 400X395MM 25PP LC</v>
          </cell>
        </row>
        <row r="1048515">
          <cell r="A1048515">
            <v>400056641</v>
          </cell>
          <cell r="B1048515" t="str">
            <v>BAG HANCO 315X320MM CHOCLITOS</v>
          </cell>
        </row>
        <row r="1048516">
          <cell r="A1048516">
            <v>400057173</v>
          </cell>
          <cell r="B1048516" t="str">
            <v>BAG IMPHANCO 334X440 DOR QUESO 34GX10 ND</v>
          </cell>
        </row>
        <row r="1048517">
          <cell r="A1048517">
            <v>400058146</v>
          </cell>
          <cell r="B1048517" t="str">
            <v>BAG IMP PAPA SURT 25G 330X470 PR (Quincena)</v>
          </cell>
        </row>
        <row r="1048518">
          <cell r="A1048518">
            <v>400058145</v>
          </cell>
          <cell r="B1048518" t="str">
            <v>BOLS MGTA SURTIDA 497X430 25GX24 PR (Surtx24)</v>
          </cell>
        </row>
        <row r="1048519">
          <cell r="A1048519">
            <v>400058351</v>
          </cell>
          <cell r="B1048519" t="str">
            <v>BAG ULTRALONCHERA 1392GX50 PR</v>
          </cell>
        </row>
        <row r="1048520">
          <cell r="A1048520">
            <v>400054418</v>
          </cell>
          <cell r="B1048520" t="str">
            <v>BAG IMP HANCO 400X395MM MGT 25 LIMON LC</v>
          </cell>
        </row>
        <row r="1048521">
          <cell r="A1048521">
            <v>400058147</v>
          </cell>
          <cell r="B1048521" t="str">
            <v>BAG IMP HANCO 400X395MM MGT 25 LIMON PR (Docena)</v>
          </cell>
        </row>
        <row r="1048522">
          <cell r="A1048522">
            <v>400054453</v>
          </cell>
          <cell r="B1048522" t="str">
            <v>BOLSA IMP 440X480 DETODITO BBQ LC (Docena)</v>
          </cell>
        </row>
        <row r="1048523">
          <cell r="A1048523">
            <v>400030486</v>
          </cell>
          <cell r="B1048523" t="str">
            <v>CINTA OFERTA BLANCA 36MMX100MTS</v>
          </cell>
        </row>
        <row r="1048524">
          <cell r="A1048524">
            <v>400054451</v>
          </cell>
          <cell r="B1048524" t="str">
            <v>BAG DTD BBQ 45G 300X440 LC (Sexta)</v>
          </cell>
        </row>
        <row r="1048525">
          <cell r="A1048525">
            <v>400054514</v>
          </cell>
          <cell r="B1048525" t="str">
            <v>BAG CHEETOS NATURAL 15GX12 340X405 LC (Docena)</v>
          </cell>
        </row>
        <row r="1048526">
          <cell r="A1048526">
            <v>400054517</v>
          </cell>
          <cell r="B1048526" t="str">
            <v>BAG 380X450 CHEETOS BOLI QUESO 20G LC (Docena)</v>
          </cell>
        </row>
        <row r="1048527">
          <cell r="A1048527">
            <v>400059955</v>
          </cell>
          <cell r="B1048527" t="str">
            <v>BAG MGTA POLLO IMP 25X12 HAN 400X395 LC2 (Docena)</v>
          </cell>
        </row>
        <row r="1048528">
          <cell r="A1048528">
            <v>400059960</v>
          </cell>
          <cell r="B1048528" t="str">
            <v>BAG MGTA NAT IMP 25GX12 HAN 400X395 LC2 (Docena)</v>
          </cell>
        </row>
        <row r="1048529">
          <cell r="A1048529">
            <v>400059910</v>
          </cell>
          <cell r="B1048529" t="str">
            <v>BAG CHOCLITOS HANCO 27Gx12 315X320 LC2 (Docena)</v>
          </cell>
        </row>
        <row r="1048530">
          <cell r="A1048530">
            <v>400060055</v>
          </cell>
          <cell r="B1048530" t="str">
            <v>BAG SUPER LONCHERA 271GX12 330X410 LC2</v>
          </cell>
        </row>
        <row r="1048531">
          <cell r="A1048531">
            <v>400060056</v>
          </cell>
          <cell r="B1048531" t="str">
            <v>BAG MEGA LONCHERA 578GX22 450X445 LC2</v>
          </cell>
        </row>
        <row r="1048532">
          <cell r="A1048532">
            <v>400060054</v>
          </cell>
          <cell r="B1048532" t="str">
            <v>BAG SURTIDO ALEGRIA 447GX18 440X430 LC2</v>
          </cell>
        </row>
        <row r="1048533">
          <cell r="A1048533">
            <v>400060057</v>
          </cell>
          <cell r="B1048533" t="str">
            <v>BAG LONCHERA D1 266GX12 330X410 LC2</v>
          </cell>
        </row>
        <row r="1048534">
          <cell r="A1048534">
            <v>400061012</v>
          </cell>
          <cell r="B1048534" t="str">
            <v>BAG ULTRALONCHERA 1392GX50 610X510 LC2</v>
          </cell>
        </row>
        <row r="1048535">
          <cell r="A1048535">
            <v>400061197</v>
          </cell>
          <cell r="B1048535" t="str">
            <v>BAG LONCHERA D1 236GX10 330X390</v>
          </cell>
        </row>
        <row r="1048536">
          <cell r="A1048536">
            <v>400061198</v>
          </cell>
          <cell r="B1048536" t="str">
            <v>BAG SURTIDO ALEGRIA 338GX14 380X390</v>
          </cell>
        </row>
        <row r="1048537">
          <cell r="A1048537">
            <v>400059682</v>
          </cell>
          <cell r="B1048537" t="str">
            <v>DISP MANI MOTO NAT 44GX12 RM</v>
          </cell>
        </row>
        <row r="1048538">
          <cell r="A1048538">
            <v>400059836</v>
          </cell>
          <cell r="B1048538" t="str">
            <v>BAG DETODITO BBQ TRAN 45GX12 440X480 LC2</v>
          </cell>
        </row>
        <row r="1048539">
          <cell r="A1048539">
            <v>400059912</v>
          </cell>
          <cell r="B1048539" t="str">
            <v>BAG DETODITO BBQ IMP 45GX6 340X400 LC2</v>
          </cell>
        </row>
        <row r="1048540">
          <cell r="A1048540">
            <v>400059804</v>
          </cell>
          <cell r="B1048540" t="str">
            <v>BAG CHEETOS NATURAL 15GX12  </v>
          </cell>
        </row>
        <row r="1048541">
          <cell r="A1048541">
            <v>400058840</v>
          </cell>
          <cell r="B1048541" t="str">
            <v>BAG 380X420 CHEETOS BOLI QUESO 20G LC</v>
          </cell>
        </row>
        <row r="1048542">
          <cell r="A1048542">
            <v>400062231</v>
          </cell>
          <cell r="B1048542" t="str">
            <v>BAG CHOCLITOS 270G 280X320 (x10) Mtpck</v>
          </cell>
        </row>
        <row r="1048543">
          <cell r="A1048543">
            <v>400062232</v>
          </cell>
          <cell r="B1048543" t="str">
            <v>BAG EXTRUIDOS 130G 320X280 (x6) Mtpck</v>
          </cell>
        </row>
        <row r="1048544">
          <cell r="A1048544">
            <v>400061915</v>
          </cell>
          <cell r="B1048544" t="str">
            <v>BOX TROQUELADA E240 MORADA</v>
          </cell>
        </row>
        <row r="1048545">
          <cell r="A1048545">
            <v>400061916</v>
          </cell>
          <cell r="B1048545" t="str">
            <v>BOX TROQUELADA E208 ROJA</v>
          </cell>
        </row>
        <row r="1048546">
          <cell r="A1048546">
            <v>400062201</v>
          </cell>
          <cell r="B1048546" t="str">
            <v>BAG MARGARITA 150G 390X285 (x6) Mtpck</v>
          </cell>
        </row>
        <row r="1048547">
          <cell r="A1048547">
            <v>400062202</v>
          </cell>
          <cell r="B1048547" t="str">
            <v>BAG MARGARITA 225G 330X360(x9) Mtpck</v>
          </cell>
        </row>
        <row r="1048548">
          <cell r="A1048548">
            <v>400062233</v>
          </cell>
          <cell r="B1048548" t="str">
            <v>BAG GUDIZ 224G 400X290 (x8) Mtpck</v>
          </cell>
        </row>
        <row r="1048549">
          <cell r="A1048549">
            <v>400062242</v>
          </cell>
          <cell r="B1048549" t="str">
            <v>BAG MULTIP DINAM FH Y LIM 240GX6 220X315 (X6) Mtpck</v>
          </cell>
        </row>
        <row r="1048550">
          <cell r="A1048550">
            <v>400059914</v>
          </cell>
          <cell r="B1048550" t="str">
            <v>BAG DOR QUESO IMP 34GX10 HAN 334X390 LC2</v>
          </cell>
        </row>
        <row r="1048551">
          <cell r="A1048551">
            <v>400062727</v>
          </cell>
          <cell r="B1048551" t="str">
            <v>BAG DOR DINAM FH Y LIM 40GX6 220X315 TR2(x6)</v>
          </cell>
        </row>
        <row r="1048552">
          <cell r="A1048552">
            <v>400061457</v>
          </cell>
          <cell r="B1048552" t="str">
            <v>BAG MEGA LONCHERA 586GX22X3 450X445 TR</v>
          </cell>
        </row>
        <row r="1048553">
          <cell r="A1048553">
            <v>400061761</v>
          </cell>
          <cell r="B1048553" t="str">
            <v>BAG SUPER LONCHERA 271GX12X3 330X410 TR</v>
          </cell>
        </row>
        <row r="1048554">
          <cell r="A1048554">
            <v>400061625</v>
          </cell>
          <cell r="B1048554" t="str">
            <v>BAG ULTRALONCHERA 1392GX50X1 610X510 TR</v>
          </cell>
        </row>
        <row r="1048555">
          <cell r="A1048555">
            <v>400061456</v>
          </cell>
          <cell r="B1048555" t="str">
            <v>BAG LONCHERA D1 236GX10X7 330X390 TR</v>
          </cell>
        </row>
        <row r="1048556">
          <cell r="A1048556">
            <v>400061762</v>
          </cell>
          <cell r="B1048556" t="str">
            <v>BAG SURTIDO ALEGRIA 338GX14X4 380X450 TR</v>
          </cell>
        </row>
        <row r="1048557">
          <cell r="A1048557">
            <v>400063129</v>
          </cell>
          <cell r="B1048557" t="str">
            <v>BAG MARGARITA 25GX9 330X360 TR2(x9)</v>
          </cell>
        </row>
        <row r="1048558">
          <cell r="A1048558">
            <v>400061498</v>
          </cell>
          <cell r="B1048558" t="str">
            <v>BAG MGTA SURTIDA 25GX24X2 497X430 PR TR(Surtx24)</v>
          </cell>
        </row>
        <row r="1048559">
          <cell r="A1048559">
            <v>400063240</v>
          </cell>
          <cell r="B1048559" t="str">
            <v>BAG MARGARITA 25GX6 390X285 TR2(x6)</v>
          </cell>
        </row>
        <row r="1048560">
          <cell r="A1048560">
            <v>400063125</v>
          </cell>
          <cell r="B1048560" t="str">
            <v>BAG EXTRUIDOS 130G 320X280 TR2(x6)</v>
          </cell>
        </row>
        <row r="1048561">
          <cell r="A1048561">
            <v>400059839</v>
          </cell>
          <cell r="B1048561" t="str">
            <v>BAG  DTD NATURAL TRAN 45GX12 440X480 LC2</v>
          </cell>
        </row>
        <row r="1048562">
          <cell r="A1048562">
            <v>400062725</v>
          </cell>
          <cell r="B1048562" t="str">
            <v>BAG DTD NAT TRAN 45GX12 HAN 555X412 TR2</v>
          </cell>
        </row>
        <row r="1048563">
          <cell r="A1048563">
            <v>400062724</v>
          </cell>
          <cell r="B1048563" t="str">
            <v>BAG  DTD NAT IMP 45GX6 HAN 370X412 TR2</v>
          </cell>
        </row>
        <row r="1048564">
          <cell r="A1048564">
            <v>400062726</v>
          </cell>
          <cell r="B1048564" t="str">
            <v>BAG DTD BBQ TRAN 45GX12 HAN 555X412 TR2</v>
          </cell>
        </row>
        <row r="1048565">
          <cell r="A1048565">
            <v>400062723</v>
          </cell>
          <cell r="B1048565" t="str">
            <v>BAG DTD BBQ IMP 45GX6 HAN 370X412 TR2</v>
          </cell>
        </row>
        <row r="1048566">
          <cell r="A1048566">
            <v>400063611</v>
          </cell>
          <cell r="B1048566" t="str">
            <v>BAG MARGARITA 25GX9 330X360 NA TR2 (X9)</v>
          </cell>
        </row>
        <row r="1048567">
          <cell r="A1048567">
            <v>400063612</v>
          </cell>
          <cell r="B1048567" t="str">
            <v>BAG MARGARITA 25GX6 390X285 NA TR2 (X6)</v>
          </cell>
        </row>
        <row r="1048568">
          <cell r="A1048568">
            <v>400068807</v>
          </cell>
          <cell r="B1048568" t="str">
            <v>CS CAJA E240 TROQ AZUL OSC MUNDIAL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5D65E-9A63-455B-8423-076CD7D5C8A4}">
  <sheetPr>
    <tabColor theme="5"/>
  </sheetPr>
  <dimension ref="A1:XBX444"/>
  <sheetViews>
    <sheetView showGridLines="0" tabSelected="1" zoomScale="85" zoomScaleNormal="85" workbookViewId="0">
      <pane ySplit="3" topLeftCell="A4" activePane="bottomLeft" state="frozen"/>
      <selection activeCell="D7" sqref="D7:D9 D11 D23 D30:D31 D64"/>
      <selection pane="bottomLeft" activeCell="B5" sqref="B5"/>
    </sheetView>
  </sheetViews>
  <sheetFormatPr baseColWidth="10" defaultColWidth="11.453125" defaultRowHeight="14.5" x14ac:dyDescent="0.35"/>
  <cols>
    <col min="1" max="1" width="13.1796875" style="26" bestFit="1" customWidth="1"/>
    <col min="2" max="2" width="55.54296875" style="16" bestFit="1" customWidth="1"/>
    <col min="3" max="3" width="20.54296875" style="27" bestFit="1" customWidth="1"/>
    <col min="4" max="4" width="53.1796875" style="16" bestFit="1" customWidth="1"/>
    <col min="5" max="5" width="15.1796875" style="28" bestFit="1" customWidth="1"/>
    <col min="6" max="6" width="14" style="29" bestFit="1" customWidth="1"/>
    <col min="7" max="7" width="12.54296875" style="30" bestFit="1" customWidth="1"/>
    <col min="8" max="16384" width="11.453125" style="7"/>
  </cols>
  <sheetData>
    <row r="1" spans="1:7" s="1" customFormat="1" ht="15" thickBot="1" x14ac:dyDescent="0.4">
      <c r="A1" s="2"/>
      <c r="B1" s="3" t="s">
        <v>0</v>
      </c>
      <c r="C1" s="4"/>
      <c r="D1" s="3"/>
      <c r="E1" s="5"/>
      <c r="F1" s="6"/>
      <c r="G1" s="6"/>
    </row>
    <row r="2" spans="1:7" hidden="1" x14ac:dyDescent="0.35">
      <c r="A2" s="8"/>
      <c r="B2" s="9"/>
      <c r="C2" s="10"/>
      <c r="D2" s="11"/>
      <c r="E2" s="12"/>
      <c r="F2" s="13"/>
      <c r="G2" s="13"/>
    </row>
    <row r="3" spans="1:7" s="14" customFormat="1" ht="15.5" x14ac:dyDescent="0.35">
      <c r="A3" s="33" t="s">
        <v>1</v>
      </c>
      <c r="B3" s="34" t="str">
        <f>+IFERROR(VLOOKUP(A3,[1]Embalajes!A:B,2,0),"Descripcion")</f>
        <v>Descripcion</v>
      </c>
      <c r="C3" s="33" t="s">
        <v>1</v>
      </c>
      <c r="D3" s="34" t="s">
        <v>2</v>
      </c>
      <c r="E3" s="35" t="s">
        <v>3</v>
      </c>
      <c r="F3" s="36">
        <v>3063</v>
      </c>
      <c r="G3" s="37">
        <v>0</v>
      </c>
    </row>
    <row r="4" spans="1:7" x14ac:dyDescent="0.35">
      <c r="A4" s="38">
        <v>300033679</v>
      </c>
      <c r="B4" s="39" t="s">
        <v>4</v>
      </c>
      <c r="C4" s="38">
        <v>300056037</v>
      </c>
      <c r="D4" s="39" t="s">
        <v>5</v>
      </c>
      <c r="E4" s="38">
        <v>16</v>
      </c>
      <c r="F4" s="38" t="s">
        <v>6</v>
      </c>
      <c r="G4" s="40">
        <f t="shared" ref="G4:G67" si="0">+$G$3*E4</f>
        <v>0</v>
      </c>
    </row>
    <row r="5" spans="1:7" x14ac:dyDescent="0.35">
      <c r="A5" s="38">
        <v>300033679</v>
      </c>
      <c r="B5" s="39" t="s">
        <v>4</v>
      </c>
      <c r="C5" s="38">
        <v>300056038</v>
      </c>
      <c r="D5" s="39" t="s">
        <v>7</v>
      </c>
      <c r="E5" s="38">
        <v>16</v>
      </c>
      <c r="F5" s="38" t="s">
        <v>6</v>
      </c>
      <c r="G5" s="40">
        <f t="shared" si="0"/>
        <v>0</v>
      </c>
    </row>
    <row r="6" spans="1:7" x14ac:dyDescent="0.35">
      <c r="A6" s="38">
        <v>300033679</v>
      </c>
      <c r="B6" s="39" t="s">
        <v>4</v>
      </c>
      <c r="C6" s="38">
        <v>300056039</v>
      </c>
      <c r="D6" s="39" t="s">
        <v>8</v>
      </c>
      <c r="E6" s="38">
        <v>16</v>
      </c>
      <c r="F6" s="38" t="s">
        <v>6</v>
      </c>
      <c r="G6" s="40">
        <f t="shared" si="0"/>
        <v>0</v>
      </c>
    </row>
    <row r="7" spans="1:7" x14ac:dyDescent="0.35">
      <c r="A7" s="38">
        <v>300033679</v>
      </c>
      <c r="B7" s="39" t="s">
        <v>4</v>
      </c>
      <c r="C7" s="38">
        <v>400030952</v>
      </c>
      <c r="D7" s="39" t="s">
        <v>9</v>
      </c>
      <c r="E7" s="38">
        <v>1</v>
      </c>
      <c r="F7" s="38" t="s">
        <v>6</v>
      </c>
      <c r="G7" s="40">
        <f t="shared" si="0"/>
        <v>0</v>
      </c>
    </row>
    <row r="8" spans="1:7" x14ac:dyDescent="0.35">
      <c r="A8" s="38">
        <v>300033679</v>
      </c>
      <c r="B8" s="39" t="s">
        <v>4</v>
      </c>
      <c r="C8" s="38">
        <v>400040043</v>
      </c>
      <c r="D8" s="39" t="s">
        <v>10</v>
      </c>
      <c r="E8" s="38">
        <v>1</v>
      </c>
      <c r="F8" s="38" t="s">
        <v>6</v>
      </c>
      <c r="G8" s="40">
        <f t="shared" si="0"/>
        <v>0</v>
      </c>
    </row>
    <row r="9" spans="1:7" x14ac:dyDescent="0.35">
      <c r="A9" s="38">
        <v>300033679</v>
      </c>
      <c r="B9" s="39" t="s">
        <v>4</v>
      </c>
      <c r="C9" s="38">
        <v>400063610</v>
      </c>
      <c r="D9" s="39" t="s">
        <v>11</v>
      </c>
      <c r="E9" s="38">
        <v>2</v>
      </c>
      <c r="F9" s="38" t="s">
        <v>6</v>
      </c>
      <c r="G9" s="40">
        <f t="shared" si="0"/>
        <v>0</v>
      </c>
    </row>
    <row r="10" spans="1:7" x14ac:dyDescent="0.35">
      <c r="A10" s="38">
        <v>300034223</v>
      </c>
      <c r="B10" s="39" t="s">
        <v>12</v>
      </c>
      <c r="C10" s="38">
        <v>300033977</v>
      </c>
      <c r="D10" s="39" t="s">
        <v>13</v>
      </c>
      <c r="E10" s="38">
        <v>48</v>
      </c>
      <c r="F10" s="38" t="s">
        <v>6</v>
      </c>
      <c r="G10" s="41">
        <f t="shared" si="0"/>
        <v>0</v>
      </c>
    </row>
    <row r="11" spans="1:7" x14ac:dyDescent="0.35">
      <c r="A11" s="38">
        <v>300034223</v>
      </c>
      <c r="B11" s="39" t="s">
        <v>12</v>
      </c>
      <c r="C11" s="38">
        <v>300056038</v>
      </c>
      <c r="D11" s="39" t="s">
        <v>7</v>
      </c>
      <c r="E11" s="38">
        <v>8</v>
      </c>
      <c r="F11" s="38" t="s">
        <v>6</v>
      </c>
      <c r="G11" s="41">
        <f t="shared" si="0"/>
        <v>0</v>
      </c>
    </row>
    <row r="12" spans="1:7" x14ac:dyDescent="0.35">
      <c r="A12" s="38">
        <v>300034223</v>
      </c>
      <c r="B12" s="39" t="s">
        <v>12</v>
      </c>
      <c r="C12" s="38">
        <v>400040043</v>
      </c>
      <c r="D12" s="39" t="s">
        <v>10</v>
      </c>
      <c r="E12" s="38">
        <v>1</v>
      </c>
      <c r="F12" s="38" t="s">
        <v>6</v>
      </c>
      <c r="G12" s="41">
        <f t="shared" si="0"/>
        <v>0</v>
      </c>
    </row>
    <row r="13" spans="1:7" x14ac:dyDescent="0.35">
      <c r="A13" s="38">
        <v>300034223</v>
      </c>
      <c r="B13" s="39" t="s">
        <v>12</v>
      </c>
      <c r="C13" s="38">
        <v>400030922</v>
      </c>
      <c r="D13" s="39" t="s">
        <v>14</v>
      </c>
      <c r="E13" s="38">
        <v>3.2</v>
      </c>
      <c r="F13" s="38" t="s">
        <v>15</v>
      </c>
      <c r="G13" s="41">
        <f t="shared" si="0"/>
        <v>0</v>
      </c>
    </row>
    <row r="14" spans="1:7" x14ac:dyDescent="0.35">
      <c r="A14" s="38">
        <v>300034223</v>
      </c>
      <c r="B14" s="39" t="s">
        <v>12</v>
      </c>
      <c r="C14" s="38">
        <v>400030952</v>
      </c>
      <c r="D14" s="39" t="s">
        <v>9</v>
      </c>
      <c r="E14" s="38">
        <v>1</v>
      </c>
      <c r="F14" s="38" t="s">
        <v>6</v>
      </c>
      <c r="G14" s="41">
        <f t="shared" si="0"/>
        <v>0</v>
      </c>
    </row>
    <row r="15" spans="1:7" x14ac:dyDescent="0.35">
      <c r="A15" s="38">
        <v>300034223</v>
      </c>
      <c r="B15" s="39" t="s">
        <v>12</v>
      </c>
      <c r="C15" s="38">
        <v>400030959</v>
      </c>
      <c r="D15" s="39" t="s">
        <v>16</v>
      </c>
      <c r="E15" s="38">
        <v>4</v>
      </c>
      <c r="F15" s="38" t="s">
        <v>6</v>
      </c>
      <c r="G15" s="41">
        <f t="shared" si="0"/>
        <v>0</v>
      </c>
    </row>
    <row r="16" spans="1:7" x14ac:dyDescent="0.35">
      <c r="A16" s="38">
        <v>300034223</v>
      </c>
      <c r="B16" s="39" t="s">
        <v>12</v>
      </c>
      <c r="C16" s="38">
        <v>400030451</v>
      </c>
      <c r="D16" s="39" t="s">
        <v>17</v>
      </c>
      <c r="E16" s="38">
        <v>4</v>
      </c>
      <c r="F16" s="38" t="s">
        <v>6</v>
      </c>
      <c r="G16" s="41">
        <f t="shared" si="0"/>
        <v>0</v>
      </c>
    </row>
    <row r="17" spans="1:7" x14ac:dyDescent="0.35">
      <c r="A17" s="38">
        <v>300033970</v>
      </c>
      <c r="B17" s="39" t="s">
        <v>18</v>
      </c>
      <c r="C17" s="38">
        <v>300056022</v>
      </c>
      <c r="D17" s="39" t="s">
        <v>19</v>
      </c>
      <c r="E17" s="38">
        <v>36</v>
      </c>
      <c r="F17" s="38" t="s">
        <v>6</v>
      </c>
      <c r="G17" s="41">
        <f t="shared" si="0"/>
        <v>0</v>
      </c>
    </row>
    <row r="18" spans="1:7" x14ac:dyDescent="0.35">
      <c r="A18" s="38">
        <v>300033970</v>
      </c>
      <c r="B18" s="39" t="s">
        <v>18</v>
      </c>
      <c r="C18" s="38">
        <v>300065338</v>
      </c>
      <c r="D18" s="39" t="s">
        <v>20</v>
      </c>
      <c r="E18" s="38">
        <v>3</v>
      </c>
      <c r="F18" s="38" t="s">
        <v>6</v>
      </c>
      <c r="G18" s="41">
        <f t="shared" si="0"/>
        <v>0</v>
      </c>
    </row>
    <row r="19" spans="1:7" x14ac:dyDescent="0.35">
      <c r="A19" s="38">
        <v>300033970</v>
      </c>
      <c r="B19" s="39" t="s">
        <v>18</v>
      </c>
      <c r="C19" s="38">
        <v>400040043</v>
      </c>
      <c r="D19" s="39" t="s">
        <v>10</v>
      </c>
      <c r="E19" s="38">
        <v>1</v>
      </c>
      <c r="F19" s="38" t="s">
        <v>6</v>
      </c>
      <c r="G19" s="41">
        <f t="shared" si="0"/>
        <v>0</v>
      </c>
    </row>
    <row r="20" spans="1:7" x14ac:dyDescent="0.35">
      <c r="A20" s="38">
        <v>300033970</v>
      </c>
      <c r="B20" s="39" t="s">
        <v>18</v>
      </c>
      <c r="C20" s="38">
        <v>400030623</v>
      </c>
      <c r="D20" s="39" t="s">
        <v>21</v>
      </c>
      <c r="E20" s="38">
        <v>1</v>
      </c>
      <c r="F20" s="38" t="s">
        <v>6</v>
      </c>
      <c r="G20" s="41">
        <f t="shared" si="0"/>
        <v>0</v>
      </c>
    </row>
    <row r="21" spans="1:7" x14ac:dyDescent="0.35">
      <c r="A21" s="38">
        <v>300033970</v>
      </c>
      <c r="B21" s="39" t="s">
        <v>18</v>
      </c>
      <c r="C21" s="38">
        <v>400030922</v>
      </c>
      <c r="D21" s="39" t="s">
        <v>14</v>
      </c>
      <c r="E21" s="38">
        <v>3</v>
      </c>
      <c r="F21" s="38" t="s">
        <v>15</v>
      </c>
      <c r="G21" s="41">
        <f t="shared" si="0"/>
        <v>0</v>
      </c>
    </row>
    <row r="22" spans="1:7" x14ac:dyDescent="0.35">
      <c r="A22" s="38">
        <v>300033970</v>
      </c>
      <c r="B22" s="39" t="s">
        <v>18</v>
      </c>
      <c r="C22" s="38">
        <v>400030451</v>
      </c>
      <c r="D22" s="39" t="s">
        <v>17</v>
      </c>
      <c r="E22" s="38">
        <v>3</v>
      </c>
      <c r="F22" s="38" t="s">
        <v>6</v>
      </c>
      <c r="G22" s="41">
        <f t="shared" si="0"/>
        <v>0</v>
      </c>
    </row>
    <row r="23" spans="1:7" x14ac:dyDescent="0.35">
      <c r="A23" s="38">
        <v>300034111</v>
      </c>
      <c r="B23" s="39" t="s">
        <v>22</v>
      </c>
      <c r="C23" s="38">
        <v>300055844</v>
      </c>
      <c r="D23" s="39" t="s">
        <v>23</v>
      </c>
      <c r="E23" s="38">
        <v>36</v>
      </c>
      <c r="F23" s="38" t="s">
        <v>6</v>
      </c>
      <c r="G23" s="41">
        <f t="shared" si="0"/>
        <v>0</v>
      </c>
    </row>
    <row r="24" spans="1:7" x14ac:dyDescent="0.35">
      <c r="A24" s="38">
        <v>300034111</v>
      </c>
      <c r="B24" s="39" t="s">
        <v>22</v>
      </c>
      <c r="C24" s="38">
        <v>300065339</v>
      </c>
      <c r="D24" s="39" t="s">
        <v>24</v>
      </c>
      <c r="E24" s="38">
        <v>3</v>
      </c>
      <c r="F24" s="38" t="s">
        <v>6</v>
      </c>
      <c r="G24" s="41">
        <f t="shared" si="0"/>
        <v>0</v>
      </c>
    </row>
    <row r="25" spans="1:7" x14ac:dyDescent="0.35">
      <c r="A25" s="38">
        <v>300034111</v>
      </c>
      <c r="B25" s="39" t="s">
        <v>22</v>
      </c>
      <c r="C25" s="38">
        <v>400040043</v>
      </c>
      <c r="D25" s="39" t="s">
        <v>10</v>
      </c>
      <c r="E25" s="38">
        <v>1</v>
      </c>
      <c r="F25" s="38" t="s">
        <v>6</v>
      </c>
      <c r="G25" s="41">
        <f t="shared" si="0"/>
        <v>0</v>
      </c>
    </row>
    <row r="26" spans="1:7" x14ac:dyDescent="0.35">
      <c r="A26" s="38">
        <v>300034111</v>
      </c>
      <c r="B26" s="39" t="s">
        <v>22</v>
      </c>
      <c r="C26" s="38">
        <v>400030623</v>
      </c>
      <c r="D26" s="39" t="s">
        <v>21</v>
      </c>
      <c r="E26" s="38">
        <v>1</v>
      </c>
      <c r="F26" s="38" t="s">
        <v>6</v>
      </c>
      <c r="G26" s="41">
        <f t="shared" si="0"/>
        <v>0</v>
      </c>
    </row>
    <row r="27" spans="1:7" x14ac:dyDescent="0.35">
      <c r="A27" s="38">
        <v>300034111</v>
      </c>
      <c r="B27" s="39" t="s">
        <v>22</v>
      </c>
      <c r="C27" s="38">
        <v>400030922</v>
      </c>
      <c r="D27" s="39" t="s">
        <v>14</v>
      </c>
      <c r="E27" s="38">
        <v>3</v>
      </c>
      <c r="F27" s="38" t="s">
        <v>15</v>
      </c>
      <c r="G27" s="41">
        <f t="shared" si="0"/>
        <v>0</v>
      </c>
    </row>
    <row r="28" spans="1:7" x14ac:dyDescent="0.35">
      <c r="A28" s="38">
        <v>300034111</v>
      </c>
      <c r="B28" s="39" t="s">
        <v>22</v>
      </c>
      <c r="C28" s="38">
        <v>400030451</v>
      </c>
      <c r="D28" s="39" t="s">
        <v>17</v>
      </c>
      <c r="E28" s="38">
        <v>3</v>
      </c>
      <c r="F28" s="38" t="s">
        <v>6</v>
      </c>
      <c r="G28" s="41">
        <f t="shared" si="0"/>
        <v>0</v>
      </c>
    </row>
    <row r="29" spans="1:7" x14ac:dyDescent="0.35">
      <c r="A29" s="38">
        <v>300034224</v>
      </c>
      <c r="B29" s="39" t="s">
        <v>25</v>
      </c>
      <c r="C29" s="38">
        <v>300033887</v>
      </c>
      <c r="D29" s="39" t="s">
        <v>26</v>
      </c>
      <c r="E29" s="38">
        <v>48</v>
      </c>
      <c r="F29" s="38" t="s">
        <v>6</v>
      </c>
      <c r="G29" s="41">
        <f t="shared" si="0"/>
        <v>0</v>
      </c>
    </row>
    <row r="30" spans="1:7" x14ac:dyDescent="0.35">
      <c r="A30" s="38">
        <v>300034224</v>
      </c>
      <c r="B30" s="39" t="s">
        <v>25</v>
      </c>
      <c r="C30" s="38">
        <v>300056039</v>
      </c>
      <c r="D30" s="39" t="s">
        <v>8</v>
      </c>
      <c r="E30" s="38">
        <v>8</v>
      </c>
      <c r="F30" s="38" t="s">
        <v>6</v>
      </c>
      <c r="G30" s="41">
        <f t="shared" si="0"/>
        <v>0</v>
      </c>
    </row>
    <row r="31" spans="1:7" x14ac:dyDescent="0.35">
      <c r="A31" s="38">
        <v>300034224</v>
      </c>
      <c r="B31" s="39" t="s">
        <v>25</v>
      </c>
      <c r="C31" s="38">
        <v>400030922</v>
      </c>
      <c r="D31" s="39" t="s">
        <v>14</v>
      </c>
      <c r="E31" s="38">
        <v>3.28</v>
      </c>
      <c r="F31" s="38" t="s">
        <v>15</v>
      </c>
      <c r="G31" s="41">
        <f t="shared" si="0"/>
        <v>0</v>
      </c>
    </row>
    <row r="32" spans="1:7" x14ac:dyDescent="0.35">
      <c r="A32" s="38">
        <v>300034224</v>
      </c>
      <c r="B32" s="39" t="s">
        <v>25</v>
      </c>
      <c r="C32" s="38">
        <v>400030952</v>
      </c>
      <c r="D32" s="39" t="s">
        <v>9</v>
      </c>
      <c r="E32" s="38">
        <v>1</v>
      </c>
      <c r="F32" s="38" t="s">
        <v>6</v>
      </c>
      <c r="G32" s="41">
        <f t="shared" si="0"/>
        <v>0</v>
      </c>
    </row>
    <row r="33" spans="1:7" x14ac:dyDescent="0.35">
      <c r="A33" s="38">
        <v>300034224</v>
      </c>
      <c r="B33" s="39" t="s">
        <v>25</v>
      </c>
      <c r="C33" s="38">
        <v>400030959</v>
      </c>
      <c r="D33" s="39" t="s">
        <v>16</v>
      </c>
      <c r="E33" s="38">
        <v>4</v>
      </c>
      <c r="F33" s="38" t="s">
        <v>6</v>
      </c>
      <c r="G33" s="41">
        <f t="shared" si="0"/>
        <v>0</v>
      </c>
    </row>
    <row r="34" spans="1:7" x14ac:dyDescent="0.35">
      <c r="A34" s="38">
        <v>300034224</v>
      </c>
      <c r="B34" s="39" t="s">
        <v>25</v>
      </c>
      <c r="C34" s="38">
        <v>400040043</v>
      </c>
      <c r="D34" s="39" t="s">
        <v>10</v>
      </c>
      <c r="E34" s="38">
        <v>1</v>
      </c>
      <c r="F34" s="38" t="s">
        <v>6</v>
      </c>
      <c r="G34" s="41">
        <f t="shared" si="0"/>
        <v>0</v>
      </c>
    </row>
    <row r="35" spans="1:7" x14ac:dyDescent="0.35">
      <c r="A35" s="38">
        <v>300034224</v>
      </c>
      <c r="B35" s="39" t="s">
        <v>25</v>
      </c>
      <c r="C35" s="38">
        <v>400030451</v>
      </c>
      <c r="D35" s="39" t="s">
        <v>17</v>
      </c>
      <c r="E35" s="38">
        <v>4</v>
      </c>
      <c r="F35" s="38" t="s">
        <v>6</v>
      </c>
      <c r="G35" s="41">
        <f t="shared" si="0"/>
        <v>0</v>
      </c>
    </row>
    <row r="36" spans="1:7" x14ac:dyDescent="0.35">
      <c r="A36" s="38">
        <v>300033854</v>
      </c>
      <c r="B36" s="39" t="s">
        <v>27</v>
      </c>
      <c r="C36" s="38">
        <v>300057390</v>
      </c>
      <c r="D36" s="39" t="s">
        <v>28</v>
      </c>
      <c r="E36" s="38">
        <v>72</v>
      </c>
      <c r="F36" s="38" t="s">
        <v>6</v>
      </c>
      <c r="G36" s="41">
        <f t="shared" si="0"/>
        <v>0</v>
      </c>
    </row>
    <row r="37" spans="1:7" x14ac:dyDescent="0.35">
      <c r="A37" s="38">
        <v>300033854</v>
      </c>
      <c r="B37" s="39" t="s">
        <v>27</v>
      </c>
      <c r="C37" s="38">
        <v>300056056</v>
      </c>
      <c r="D37" s="39" t="s">
        <v>29</v>
      </c>
      <c r="E37" s="38">
        <v>12</v>
      </c>
      <c r="F37" s="38" t="s">
        <v>6</v>
      </c>
      <c r="G37" s="41">
        <f t="shared" si="0"/>
        <v>0</v>
      </c>
    </row>
    <row r="38" spans="1:7" x14ac:dyDescent="0.35">
      <c r="A38" s="38">
        <v>300033854</v>
      </c>
      <c r="B38" s="39" t="s">
        <v>27</v>
      </c>
      <c r="C38" s="38">
        <v>400040043</v>
      </c>
      <c r="D38" s="39" t="s">
        <v>10</v>
      </c>
      <c r="E38" s="38">
        <v>1</v>
      </c>
      <c r="F38" s="38" t="s">
        <v>6</v>
      </c>
      <c r="G38" s="41">
        <f t="shared" si="0"/>
        <v>0</v>
      </c>
    </row>
    <row r="39" spans="1:7" x14ac:dyDescent="0.35">
      <c r="A39" s="38">
        <v>300033854</v>
      </c>
      <c r="B39" s="39" t="s">
        <v>27</v>
      </c>
      <c r="C39" s="38">
        <v>400030922</v>
      </c>
      <c r="D39" s="39" t="s">
        <v>14</v>
      </c>
      <c r="E39" s="38">
        <v>3.72</v>
      </c>
      <c r="F39" s="38" t="s">
        <v>15</v>
      </c>
      <c r="G39" s="41">
        <f t="shared" si="0"/>
        <v>0</v>
      </c>
    </row>
    <row r="40" spans="1:7" x14ac:dyDescent="0.35">
      <c r="A40" s="38">
        <v>300033854</v>
      </c>
      <c r="B40" s="39" t="s">
        <v>27</v>
      </c>
      <c r="C40" s="38">
        <v>400030954</v>
      </c>
      <c r="D40" s="39" t="s">
        <v>30</v>
      </c>
      <c r="E40" s="38">
        <v>1</v>
      </c>
      <c r="F40" s="38" t="s">
        <v>6</v>
      </c>
      <c r="G40" s="41">
        <f t="shared" si="0"/>
        <v>0</v>
      </c>
    </row>
    <row r="41" spans="1:7" x14ac:dyDescent="0.35">
      <c r="A41" s="38">
        <v>300033854</v>
      </c>
      <c r="B41" s="39" t="s">
        <v>27</v>
      </c>
      <c r="C41" s="38">
        <v>400030959</v>
      </c>
      <c r="D41" s="39" t="s">
        <v>16</v>
      </c>
      <c r="E41" s="38">
        <v>6</v>
      </c>
      <c r="F41" s="38" t="s">
        <v>6</v>
      </c>
      <c r="G41" s="41">
        <f t="shared" si="0"/>
        <v>0</v>
      </c>
    </row>
    <row r="42" spans="1:7" x14ac:dyDescent="0.35">
      <c r="A42" s="38">
        <v>300033854</v>
      </c>
      <c r="B42" s="39" t="s">
        <v>27</v>
      </c>
      <c r="C42" s="38">
        <v>400030451</v>
      </c>
      <c r="D42" s="39" t="s">
        <v>17</v>
      </c>
      <c r="E42" s="38">
        <v>12</v>
      </c>
      <c r="F42" s="38" t="s">
        <v>6</v>
      </c>
      <c r="G42" s="41">
        <f t="shared" si="0"/>
        <v>0</v>
      </c>
    </row>
    <row r="43" spans="1:7" x14ac:dyDescent="0.35">
      <c r="A43" s="38">
        <v>300033874</v>
      </c>
      <c r="B43" s="39" t="s">
        <v>31</v>
      </c>
      <c r="C43" s="38">
        <v>300056037</v>
      </c>
      <c r="D43" s="39" t="s">
        <v>5</v>
      </c>
      <c r="E43" s="42">
        <v>72</v>
      </c>
      <c r="F43" s="38" t="s">
        <v>6</v>
      </c>
      <c r="G43" s="41">
        <f t="shared" si="0"/>
        <v>0</v>
      </c>
    </row>
    <row r="44" spans="1:7" x14ac:dyDescent="0.35">
      <c r="A44" s="38">
        <v>300033874</v>
      </c>
      <c r="B44" s="39" t="s">
        <v>31</v>
      </c>
      <c r="C44" s="38">
        <v>400040043</v>
      </c>
      <c r="D44" s="39" t="s">
        <v>10</v>
      </c>
      <c r="E44" s="42">
        <v>1</v>
      </c>
      <c r="F44" s="38" t="s">
        <v>6</v>
      </c>
      <c r="G44" s="41">
        <f t="shared" si="0"/>
        <v>0</v>
      </c>
    </row>
    <row r="45" spans="1:7" x14ac:dyDescent="0.35">
      <c r="A45" s="38">
        <v>300033874</v>
      </c>
      <c r="B45" s="39" t="s">
        <v>31</v>
      </c>
      <c r="C45" s="38">
        <v>400052372</v>
      </c>
      <c r="D45" s="39" t="s">
        <v>32</v>
      </c>
      <c r="E45" s="42">
        <v>1</v>
      </c>
      <c r="F45" s="38" t="s">
        <v>6</v>
      </c>
      <c r="G45" s="41">
        <f t="shared" si="0"/>
        <v>0</v>
      </c>
    </row>
    <row r="46" spans="1:7" x14ac:dyDescent="0.35">
      <c r="A46" s="38">
        <v>300033874</v>
      </c>
      <c r="B46" s="39" t="s">
        <v>31</v>
      </c>
      <c r="C46" s="38">
        <v>400059960</v>
      </c>
      <c r="D46" s="39" t="s">
        <v>33</v>
      </c>
      <c r="E46" s="42">
        <v>6</v>
      </c>
      <c r="F46" s="38" t="s">
        <v>6</v>
      </c>
      <c r="G46" s="41">
        <f t="shared" si="0"/>
        <v>0</v>
      </c>
    </row>
    <row r="47" spans="1:7" x14ac:dyDescent="0.35">
      <c r="A47" s="38">
        <v>300033977</v>
      </c>
      <c r="B47" s="39" t="s">
        <v>13</v>
      </c>
      <c r="C47" s="38">
        <v>300056038</v>
      </c>
      <c r="D47" s="39" t="s">
        <v>7</v>
      </c>
      <c r="E47" s="42">
        <v>72</v>
      </c>
      <c r="F47" s="38" t="s">
        <v>6</v>
      </c>
      <c r="G47" s="41">
        <f t="shared" si="0"/>
        <v>0</v>
      </c>
    </row>
    <row r="48" spans="1:7" x14ac:dyDescent="0.35">
      <c r="A48" s="38">
        <v>300033977</v>
      </c>
      <c r="B48" s="39" t="s">
        <v>13</v>
      </c>
      <c r="C48" s="38">
        <v>400040043</v>
      </c>
      <c r="D48" s="39" t="s">
        <v>10</v>
      </c>
      <c r="E48" s="42">
        <v>1</v>
      </c>
      <c r="F48" s="38" t="s">
        <v>6</v>
      </c>
      <c r="G48" s="41">
        <f t="shared" si="0"/>
        <v>0</v>
      </c>
    </row>
    <row r="49" spans="1:7" x14ac:dyDescent="0.35">
      <c r="A49" s="38">
        <v>300033977</v>
      </c>
      <c r="B49" s="39" t="s">
        <v>13</v>
      </c>
      <c r="C49" s="38">
        <v>400052372</v>
      </c>
      <c r="D49" s="39" t="s">
        <v>32</v>
      </c>
      <c r="E49" s="42">
        <v>1</v>
      </c>
      <c r="F49" s="38" t="s">
        <v>6</v>
      </c>
      <c r="G49" s="41">
        <f t="shared" si="0"/>
        <v>0</v>
      </c>
    </row>
    <row r="50" spans="1:7" x14ac:dyDescent="0.35">
      <c r="A50" s="38">
        <v>300033977</v>
      </c>
      <c r="B50" s="39" t="s">
        <v>13</v>
      </c>
      <c r="C50" s="38">
        <v>400059955</v>
      </c>
      <c r="D50" s="39" t="s">
        <v>34</v>
      </c>
      <c r="E50" s="42">
        <v>6</v>
      </c>
      <c r="F50" s="38" t="s">
        <v>6</v>
      </c>
      <c r="G50" s="41">
        <f t="shared" si="0"/>
        <v>0</v>
      </c>
    </row>
    <row r="51" spans="1:7" x14ac:dyDescent="0.35">
      <c r="A51" s="43">
        <v>300058140</v>
      </c>
      <c r="B51" s="44" t="s">
        <v>35</v>
      </c>
      <c r="C51" s="43">
        <v>300033914</v>
      </c>
      <c r="D51" s="44" t="s">
        <v>36</v>
      </c>
      <c r="E51" s="45">
        <v>7</v>
      </c>
      <c r="F51" s="43" t="s">
        <v>6</v>
      </c>
      <c r="G51" s="41">
        <f t="shared" si="0"/>
        <v>0</v>
      </c>
    </row>
    <row r="52" spans="1:7" x14ac:dyDescent="0.35">
      <c r="A52" s="43">
        <v>300058140</v>
      </c>
      <c r="B52" s="44" t="s">
        <v>35</v>
      </c>
      <c r="C52" s="43">
        <v>300063074</v>
      </c>
      <c r="D52" s="44" t="s">
        <v>37</v>
      </c>
      <c r="E52" s="45">
        <v>28</v>
      </c>
      <c r="F52" s="43" t="s">
        <v>6</v>
      </c>
      <c r="G52" s="41">
        <f t="shared" si="0"/>
        <v>0</v>
      </c>
    </row>
    <row r="53" spans="1:7" x14ac:dyDescent="0.35">
      <c r="A53" s="43">
        <v>300058140</v>
      </c>
      <c r="B53" s="44" t="s">
        <v>35</v>
      </c>
      <c r="C53" s="43">
        <v>300056037</v>
      </c>
      <c r="D53" s="44" t="s">
        <v>5</v>
      </c>
      <c r="E53" s="45">
        <v>14</v>
      </c>
      <c r="F53" s="43" t="s">
        <v>6</v>
      </c>
      <c r="G53" s="41">
        <f t="shared" si="0"/>
        <v>0</v>
      </c>
    </row>
    <row r="54" spans="1:7" x14ac:dyDescent="0.35">
      <c r="A54" s="43">
        <v>300058140</v>
      </c>
      <c r="B54" s="44" t="s">
        <v>35</v>
      </c>
      <c r="C54" s="43">
        <v>300056038</v>
      </c>
      <c r="D54" s="44" t="s">
        <v>7</v>
      </c>
      <c r="E54" s="45">
        <v>7</v>
      </c>
      <c r="F54" s="43" t="s">
        <v>6</v>
      </c>
      <c r="G54" s="41">
        <f t="shared" si="0"/>
        <v>0</v>
      </c>
    </row>
    <row r="55" spans="1:7" x14ac:dyDescent="0.35">
      <c r="A55" s="43">
        <v>300058140</v>
      </c>
      <c r="B55" s="44" t="s">
        <v>35</v>
      </c>
      <c r="C55" s="43">
        <v>300056056</v>
      </c>
      <c r="D55" s="44" t="s">
        <v>29</v>
      </c>
      <c r="E55" s="45">
        <v>14</v>
      </c>
      <c r="F55" s="43" t="s">
        <v>6</v>
      </c>
      <c r="G55" s="41">
        <f t="shared" si="0"/>
        <v>0</v>
      </c>
    </row>
    <row r="56" spans="1:7" x14ac:dyDescent="0.35">
      <c r="A56" s="43">
        <v>300058140</v>
      </c>
      <c r="B56" s="44" t="s">
        <v>35</v>
      </c>
      <c r="C56" s="43">
        <v>300057925</v>
      </c>
      <c r="D56" s="44" t="s">
        <v>38</v>
      </c>
      <c r="E56" s="45">
        <v>7</v>
      </c>
      <c r="F56" s="43" t="s">
        <v>6</v>
      </c>
      <c r="G56" s="41">
        <f t="shared" si="0"/>
        <v>0</v>
      </c>
    </row>
    <row r="57" spans="1:7" x14ac:dyDescent="0.35">
      <c r="A57" s="43">
        <v>300058140</v>
      </c>
      <c r="B57" s="44" t="s">
        <v>39</v>
      </c>
      <c r="C57" s="43">
        <v>300058885</v>
      </c>
      <c r="D57" s="44" t="s">
        <v>40</v>
      </c>
      <c r="E57" s="45">
        <v>7</v>
      </c>
      <c r="F57" s="43" t="s">
        <v>6</v>
      </c>
      <c r="G57" s="41">
        <f t="shared" si="0"/>
        <v>0</v>
      </c>
    </row>
    <row r="58" spans="1:7" x14ac:dyDescent="0.35">
      <c r="A58" s="43">
        <v>300058140</v>
      </c>
      <c r="B58" s="44" t="s">
        <v>35</v>
      </c>
      <c r="C58" s="43">
        <v>400040043</v>
      </c>
      <c r="D58" s="44" t="s">
        <v>10</v>
      </c>
      <c r="E58" s="45">
        <v>1</v>
      </c>
      <c r="F58" s="43" t="s">
        <v>6</v>
      </c>
      <c r="G58" s="41">
        <f t="shared" si="0"/>
        <v>0</v>
      </c>
    </row>
    <row r="59" spans="1:7" x14ac:dyDescent="0.35">
      <c r="A59" s="43">
        <v>300058140</v>
      </c>
      <c r="B59" s="44" t="s">
        <v>35</v>
      </c>
      <c r="C59" s="43">
        <v>400052672</v>
      </c>
      <c r="D59" s="44" t="s">
        <v>41</v>
      </c>
      <c r="E59" s="45">
        <v>1</v>
      </c>
      <c r="F59" s="43" t="s">
        <v>6</v>
      </c>
      <c r="G59" s="41">
        <f t="shared" si="0"/>
        <v>0</v>
      </c>
    </row>
    <row r="60" spans="1:7" x14ac:dyDescent="0.35">
      <c r="A60" s="43">
        <v>300058140</v>
      </c>
      <c r="B60" s="44" t="s">
        <v>35</v>
      </c>
      <c r="C60" s="43">
        <v>400068849</v>
      </c>
      <c r="D60" s="44" t="s">
        <v>42</v>
      </c>
      <c r="E60" s="45">
        <v>7</v>
      </c>
      <c r="F60" s="43" t="s">
        <v>6</v>
      </c>
      <c r="G60" s="41">
        <f t="shared" si="0"/>
        <v>0</v>
      </c>
    </row>
    <row r="61" spans="1:7" x14ac:dyDescent="0.35">
      <c r="A61" s="43">
        <v>300058141</v>
      </c>
      <c r="B61" s="44" t="s">
        <v>43</v>
      </c>
      <c r="C61" s="43">
        <v>300033914</v>
      </c>
      <c r="D61" s="43" t="s">
        <v>36</v>
      </c>
      <c r="E61" s="45">
        <v>6</v>
      </c>
      <c r="F61" s="43" t="s">
        <v>6</v>
      </c>
      <c r="G61" s="41">
        <f t="shared" si="0"/>
        <v>0</v>
      </c>
    </row>
    <row r="62" spans="1:7" x14ac:dyDescent="0.35">
      <c r="A62" s="43">
        <v>300058141</v>
      </c>
      <c r="B62" s="44" t="s">
        <v>43</v>
      </c>
      <c r="C62" s="43">
        <v>300063074</v>
      </c>
      <c r="D62" s="43" t="s">
        <v>37</v>
      </c>
      <c r="E62" s="45">
        <v>9</v>
      </c>
      <c r="F62" s="43" t="s">
        <v>6</v>
      </c>
      <c r="G62" s="41">
        <f t="shared" si="0"/>
        <v>0</v>
      </c>
    </row>
    <row r="63" spans="1:7" x14ac:dyDescent="0.35">
      <c r="A63" s="43">
        <v>300058141</v>
      </c>
      <c r="B63" s="44" t="s">
        <v>43</v>
      </c>
      <c r="C63" s="38">
        <v>300065339</v>
      </c>
      <c r="D63" s="43" t="s">
        <v>24</v>
      </c>
      <c r="E63" s="45">
        <v>3</v>
      </c>
      <c r="F63" s="43" t="s">
        <v>6</v>
      </c>
      <c r="G63" s="41">
        <f t="shared" si="0"/>
        <v>0</v>
      </c>
    </row>
    <row r="64" spans="1:7" x14ac:dyDescent="0.35">
      <c r="A64" s="43">
        <v>300058141</v>
      </c>
      <c r="B64" s="44" t="s">
        <v>43</v>
      </c>
      <c r="C64" s="43">
        <v>300056037</v>
      </c>
      <c r="D64" s="43" t="s">
        <v>5</v>
      </c>
      <c r="E64" s="45">
        <v>6</v>
      </c>
      <c r="F64" s="43" t="s">
        <v>6</v>
      </c>
      <c r="G64" s="41">
        <f t="shared" si="0"/>
        <v>0</v>
      </c>
    </row>
    <row r="65" spans="1:7" x14ac:dyDescent="0.35">
      <c r="A65" s="43">
        <v>300058141</v>
      </c>
      <c r="B65" s="44" t="s">
        <v>43</v>
      </c>
      <c r="C65" s="43">
        <v>300056038</v>
      </c>
      <c r="D65" s="43" t="s">
        <v>7</v>
      </c>
      <c r="E65" s="45">
        <v>6</v>
      </c>
      <c r="F65" s="43" t="s">
        <v>6</v>
      </c>
      <c r="G65" s="41">
        <f t="shared" si="0"/>
        <v>0</v>
      </c>
    </row>
    <row r="66" spans="1:7" x14ac:dyDescent="0.35">
      <c r="A66" s="43">
        <v>300058141</v>
      </c>
      <c r="B66" s="44" t="s">
        <v>43</v>
      </c>
      <c r="C66" s="43">
        <v>300056056</v>
      </c>
      <c r="D66" s="43" t="s">
        <v>29</v>
      </c>
      <c r="E66" s="45">
        <v>6</v>
      </c>
      <c r="F66" s="43" t="s">
        <v>6</v>
      </c>
      <c r="G66" s="41">
        <f t="shared" si="0"/>
        <v>0</v>
      </c>
    </row>
    <row r="67" spans="1:7" x14ac:dyDescent="0.35">
      <c r="A67" s="43">
        <v>300058141</v>
      </c>
      <c r="B67" s="44" t="s">
        <v>43</v>
      </c>
      <c r="C67" s="43">
        <v>300056131</v>
      </c>
      <c r="D67" s="43" t="s">
        <v>44</v>
      </c>
      <c r="E67" s="45">
        <v>6</v>
      </c>
      <c r="F67" s="43" t="s">
        <v>6</v>
      </c>
      <c r="G67" s="41">
        <f t="shared" si="0"/>
        <v>0</v>
      </c>
    </row>
    <row r="68" spans="1:7" x14ac:dyDescent="0.35">
      <c r="A68" s="43">
        <v>300058141</v>
      </c>
      <c r="B68" s="44" t="s">
        <v>43</v>
      </c>
      <c r="C68" s="43">
        <v>300057925</v>
      </c>
      <c r="D68" s="43" t="s">
        <v>38</v>
      </c>
      <c r="E68" s="45">
        <v>6</v>
      </c>
      <c r="F68" s="43" t="s">
        <v>6</v>
      </c>
      <c r="G68" s="41">
        <f t="shared" ref="G68:G131" si="1">+$G$3*E68</f>
        <v>0</v>
      </c>
    </row>
    <row r="69" spans="1:7" x14ac:dyDescent="0.35">
      <c r="A69" s="43">
        <v>300058141</v>
      </c>
      <c r="B69" s="44" t="s">
        <v>43</v>
      </c>
      <c r="C69" s="43">
        <v>300058062</v>
      </c>
      <c r="D69" s="43" t="s">
        <v>45</v>
      </c>
      <c r="E69" s="45">
        <v>6</v>
      </c>
      <c r="F69" s="43" t="s">
        <v>6</v>
      </c>
      <c r="G69" s="41">
        <f t="shared" si="1"/>
        <v>0</v>
      </c>
    </row>
    <row r="70" spans="1:7" x14ac:dyDescent="0.35">
      <c r="A70" s="43">
        <v>300058141</v>
      </c>
      <c r="B70" s="44" t="s">
        <v>43</v>
      </c>
      <c r="C70" s="43">
        <v>300058885</v>
      </c>
      <c r="D70" s="43" t="s">
        <v>40</v>
      </c>
      <c r="E70" s="45">
        <v>6</v>
      </c>
      <c r="F70" s="43" t="s">
        <v>6</v>
      </c>
      <c r="G70" s="41">
        <f t="shared" si="1"/>
        <v>0</v>
      </c>
    </row>
    <row r="71" spans="1:7" x14ac:dyDescent="0.35">
      <c r="A71" s="43">
        <v>300058141</v>
      </c>
      <c r="B71" s="44" t="s">
        <v>43</v>
      </c>
      <c r="C71" s="43">
        <v>300062962</v>
      </c>
      <c r="D71" s="43" t="s">
        <v>46</v>
      </c>
      <c r="E71" s="45">
        <v>6</v>
      </c>
      <c r="F71" s="43" t="s">
        <v>6</v>
      </c>
      <c r="G71" s="41">
        <f t="shared" si="1"/>
        <v>0</v>
      </c>
    </row>
    <row r="72" spans="1:7" x14ac:dyDescent="0.35">
      <c r="A72" s="43">
        <v>300058141</v>
      </c>
      <c r="B72" s="44" t="s">
        <v>43</v>
      </c>
      <c r="C72" s="43">
        <v>400040043</v>
      </c>
      <c r="D72" s="43" t="s">
        <v>10</v>
      </c>
      <c r="E72" s="45">
        <v>1</v>
      </c>
      <c r="F72" s="43" t="s">
        <v>6</v>
      </c>
      <c r="G72" s="41">
        <f t="shared" si="1"/>
        <v>0</v>
      </c>
    </row>
    <row r="73" spans="1:7" x14ac:dyDescent="0.35">
      <c r="A73" s="43">
        <v>300058141</v>
      </c>
      <c r="B73" s="44" t="s">
        <v>43</v>
      </c>
      <c r="C73" s="43">
        <v>400052672</v>
      </c>
      <c r="D73" s="43" t="s">
        <v>41</v>
      </c>
      <c r="E73" s="45">
        <v>1</v>
      </c>
      <c r="F73" s="43" t="s">
        <v>6</v>
      </c>
      <c r="G73" s="41">
        <f t="shared" si="1"/>
        <v>0</v>
      </c>
    </row>
    <row r="74" spans="1:7" x14ac:dyDescent="0.35">
      <c r="A74" s="43">
        <v>300058141</v>
      </c>
      <c r="B74" s="44" t="s">
        <v>43</v>
      </c>
      <c r="C74" s="43">
        <v>400061457</v>
      </c>
      <c r="D74" s="43" t="s">
        <v>47</v>
      </c>
      <c r="E74" s="45">
        <v>3</v>
      </c>
      <c r="F74" s="43" t="s">
        <v>6</v>
      </c>
      <c r="G74" s="41">
        <f>+$G$3*E74</f>
        <v>0</v>
      </c>
    </row>
    <row r="75" spans="1:7" x14ac:dyDescent="0.35">
      <c r="A75" s="43">
        <v>300062681</v>
      </c>
      <c r="B75" s="44" t="s">
        <v>48</v>
      </c>
      <c r="C75" s="43">
        <v>300033914</v>
      </c>
      <c r="D75" s="44" t="s">
        <v>36</v>
      </c>
      <c r="E75" s="45">
        <v>4</v>
      </c>
      <c r="F75" s="43" t="s">
        <v>6</v>
      </c>
      <c r="G75" s="41">
        <f t="shared" si="1"/>
        <v>0</v>
      </c>
    </row>
    <row r="76" spans="1:7" x14ac:dyDescent="0.35">
      <c r="A76" s="43">
        <v>300062681</v>
      </c>
      <c r="B76" s="44" t="s">
        <v>48</v>
      </c>
      <c r="C76" s="43">
        <v>300063074</v>
      </c>
      <c r="D76" s="44" t="s">
        <v>37</v>
      </c>
      <c r="E76" s="45">
        <v>8</v>
      </c>
      <c r="F76" s="43" t="s">
        <v>6</v>
      </c>
      <c r="G76" s="41">
        <f t="shared" si="1"/>
        <v>0</v>
      </c>
    </row>
    <row r="77" spans="1:7" x14ac:dyDescent="0.35">
      <c r="A77" s="43">
        <v>300062681</v>
      </c>
      <c r="B77" s="44" t="s">
        <v>48</v>
      </c>
      <c r="C77" s="43">
        <v>300056037</v>
      </c>
      <c r="D77" s="44" t="s">
        <v>5</v>
      </c>
      <c r="E77" s="45">
        <v>8</v>
      </c>
      <c r="F77" s="43" t="s">
        <v>6</v>
      </c>
      <c r="G77" s="41">
        <f t="shared" si="1"/>
        <v>0</v>
      </c>
    </row>
    <row r="78" spans="1:7" x14ac:dyDescent="0.35">
      <c r="A78" s="43">
        <v>300062681</v>
      </c>
      <c r="B78" s="44" t="s">
        <v>48</v>
      </c>
      <c r="C78" s="43">
        <v>300056038</v>
      </c>
      <c r="D78" s="44" t="s">
        <v>7</v>
      </c>
      <c r="E78" s="45">
        <v>4</v>
      </c>
      <c r="F78" s="43" t="s">
        <v>6</v>
      </c>
      <c r="G78" s="41">
        <f t="shared" si="1"/>
        <v>0</v>
      </c>
    </row>
    <row r="79" spans="1:7" x14ac:dyDescent="0.35">
      <c r="A79" s="43">
        <v>300062681</v>
      </c>
      <c r="B79" s="44" t="s">
        <v>48</v>
      </c>
      <c r="C79" s="43">
        <v>300056056</v>
      </c>
      <c r="D79" s="44" t="s">
        <v>29</v>
      </c>
      <c r="E79" s="45">
        <v>8</v>
      </c>
      <c r="F79" s="43" t="s">
        <v>6</v>
      </c>
      <c r="G79" s="41">
        <f t="shared" si="1"/>
        <v>0</v>
      </c>
    </row>
    <row r="80" spans="1:7" x14ac:dyDescent="0.35">
      <c r="A80" s="43">
        <v>300062681</v>
      </c>
      <c r="B80" s="44" t="s">
        <v>48</v>
      </c>
      <c r="C80" s="43">
        <v>300057925</v>
      </c>
      <c r="D80" s="44" t="s">
        <v>38</v>
      </c>
      <c r="E80" s="45">
        <v>8</v>
      </c>
      <c r="F80" s="43" t="s">
        <v>6</v>
      </c>
      <c r="G80" s="41">
        <f t="shared" si="1"/>
        <v>0</v>
      </c>
    </row>
    <row r="81" spans="1:7" x14ac:dyDescent="0.35">
      <c r="A81" s="43">
        <v>300062681</v>
      </c>
      <c r="B81" s="44" t="s">
        <v>48</v>
      </c>
      <c r="C81" s="43">
        <v>300058062</v>
      </c>
      <c r="D81" s="44" t="s">
        <v>45</v>
      </c>
      <c r="E81" s="45">
        <v>4</v>
      </c>
      <c r="F81" s="43" t="s">
        <v>6</v>
      </c>
      <c r="G81" s="41">
        <f t="shared" si="1"/>
        <v>0</v>
      </c>
    </row>
    <row r="82" spans="1:7" x14ac:dyDescent="0.35">
      <c r="A82" s="43">
        <v>300062681</v>
      </c>
      <c r="B82" s="44" t="s">
        <v>48</v>
      </c>
      <c r="C82" s="43">
        <v>300058885</v>
      </c>
      <c r="D82" s="44" t="s">
        <v>40</v>
      </c>
      <c r="E82" s="45">
        <v>4</v>
      </c>
      <c r="F82" s="43" t="s">
        <v>6</v>
      </c>
      <c r="G82" s="41">
        <f t="shared" si="1"/>
        <v>0</v>
      </c>
    </row>
    <row r="83" spans="1:7" x14ac:dyDescent="0.35">
      <c r="A83" s="43">
        <v>300062681</v>
      </c>
      <c r="B83" s="44" t="s">
        <v>48</v>
      </c>
      <c r="C83" s="43">
        <v>300062962</v>
      </c>
      <c r="D83" s="44" t="s">
        <v>46</v>
      </c>
      <c r="E83" s="45">
        <v>4</v>
      </c>
      <c r="F83" s="43" t="s">
        <v>6</v>
      </c>
      <c r="G83" s="41">
        <f t="shared" si="1"/>
        <v>0</v>
      </c>
    </row>
    <row r="84" spans="1:7" x14ac:dyDescent="0.35">
      <c r="A84" s="43">
        <v>300062681</v>
      </c>
      <c r="B84" s="44" t="s">
        <v>48</v>
      </c>
      <c r="C84" s="43">
        <v>300063350</v>
      </c>
      <c r="D84" s="44" t="s">
        <v>49</v>
      </c>
      <c r="E84" s="45">
        <v>4</v>
      </c>
      <c r="F84" s="43" t="s">
        <v>6</v>
      </c>
      <c r="G84" s="41">
        <f t="shared" si="1"/>
        <v>0</v>
      </c>
    </row>
    <row r="85" spans="1:7" x14ac:dyDescent="0.35">
      <c r="A85" s="43">
        <v>300062681</v>
      </c>
      <c r="B85" s="44" t="s">
        <v>48</v>
      </c>
      <c r="C85" s="43">
        <v>400040043</v>
      </c>
      <c r="D85" s="44" t="s">
        <v>10</v>
      </c>
      <c r="E85" s="45">
        <v>1</v>
      </c>
      <c r="F85" s="43" t="s">
        <v>6</v>
      </c>
      <c r="G85" s="41">
        <f t="shared" si="1"/>
        <v>0</v>
      </c>
    </row>
    <row r="86" spans="1:7" x14ac:dyDescent="0.35">
      <c r="A86" s="43">
        <v>300062681</v>
      </c>
      <c r="B86" s="44" t="s">
        <v>48</v>
      </c>
      <c r="C86" s="43">
        <v>400043475</v>
      </c>
      <c r="D86" s="44" t="s">
        <v>51</v>
      </c>
      <c r="E86" s="45">
        <v>1</v>
      </c>
      <c r="F86" s="43" t="s">
        <v>6</v>
      </c>
      <c r="G86" s="41">
        <f t="shared" si="1"/>
        <v>0</v>
      </c>
    </row>
    <row r="87" spans="1:7" x14ac:dyDescent="0.35">
      <c r="A87" s="43">
        <v>300062681</v>
      </c>
      <c r="B87" s="44" t="s">
        <v>48</v>
      </c>
      <c r="C87" s="43">
        <v>400068848</v>
      </c>
      <c r="D87" s="44" t="s">
        <v>50</v>
      </c>
      <c r="E87" s="45">
        <v>4</v>
      </c>
      <c r="F87" s="43" t="s">
        <v>6</v>
      </c>
      <c r="G87" s="41">
        <f t="shared" si="1"/>
        <v>0</v>
      </c>
    </row>
    <row r="88" spans="1:7" x14ac:dyDescent="0.35">
      <c r="A88" s="43">
        <v>300058236</v>
      </c>
      <c r="B88" s="44" t="s">
        <v>52</v>
      </c>
      <c r="C88" s="43">
        <v>300033914</v>
      </c>
      <c r="D88" s="44" t="s">
        <v>36</v>
      </c>
      <c r="E88" s="45">
        <v>12</v>
      </c>
      <c r="F88" s="43" t="s">
        <v>6</v>
      </c>
      <c r="G88" s="41">
        <f t="shared" si="1"/>
        <v>0</v>
      </c>
    </row>
    <row r="89" spans="1:7" x14ac:dyDescent="0.35">
      <c r="A89" s="43">
        <v>300058236</v>
      </c>
      <c r="B89" s="44" t="s">
        <v>52</v>
      </c>
      <c r="C89" s="38">
        <v>300063074</v>
      </c>
      <c r="D89" s="39" t="s">
        <v>37</v>
      </c>
      <c r="E89" s="45">
        <v>12</v>
      </c>
      <c r="F89" s="43" t="s">
        <v>6</v>
      </c>
      <c r="G89" s="41">
        <f t="shared" si="1"/>
        <v>0</v>
      </c>
    </row>
    <row r="90" spans="1:7" x14ac:dyDescent="0.35">
      <c r="A90" s="43">
        <v>300058236</v>
      </c>
      <c r="B90" s="44" t="s">
        <v>52</v>
      </c>
      <c r="C90" s="38">
        <v>300065339</v>
      </c>
      <c r="D90" s="39" t="s">
        <v>24</v>
      </c>
      <c r="E90" s="45">
        <v>4</v>
      </c>
      <c r="F90" s="43" t="s">
        <v>6</v>
      </c>
      <c r="G90" s="41">
        <f t="shared" si="1"/>
        <v>0</v>
      </c>
    </row>
    <row r="91" spans="1:7" x14ac:dyDescent="0.35">
      <c r="A91" s="43">
        <v>300058236</v>
      </c>
      <c r="B91" s="44" t="s">
        <v>52</v>
      </c>
      <c r="C91" s="38">
        <v>300065338</v>
      </c>
      <c r="D91" s="39" t="s">
        <v>20</v>
      </c>
      <c r="E91" s="45">
        <v>4</v>
      </c>
      <c r="F91" s="43" t="s">
        <v>6</v>
      </c>
      <c r="G91" s="41">
        <f t="shared" si="1"/>
        <v>0</v>
      </c>
    </row>
    <row r="92" spans="1:7" x14ac:dyDescent="0.35">
      <c r="A92" s="43">
        <v>300058236</v>
      </c>
      <c r="B92" s="44" t="s">
        <v>52</v>
      </c>
      <c r="C92" s="38">
        <v>300056028</v>
      </c>
      <c r="D92" s="39" t="s">
        <v>53</v>
      </c>
      <c r="E92" s="45">
        <v>4</v>
      </c>
      <c r="F92" s="43" t="s">
        <v>6</v>
      </c>
      <c r="G92" s="41">
        <f t="shared" si="1"/>
        <v>0</v>
      </c>
    </row>
    <row r="93" spans="1:7" x14ac:dyDescent="0.35">
      <c r="A93" s="43">
        <v>300058236</v>
      </c>
      <c r="B93" s="44" t="s">
        <v>52</v>
      </c>
      <c r="C93" s="38">
        <v>300056030</v>
      </c>
      <c r="D93" s="39" t="s">
        <v>54</v>
      </c>
      <c r="E93" s="45">
        <v>2</v>
      </c>
      <c r="F93" s="43" t="s">
        <v>6</v>
      </c>
      <c r="G93" s="41">
        <f t="shared" si="1"/>
        <v>0</v>
      </c>
    </row>
    <row r="94" spans="1:7" x14ac:dyDescent="0.35">
      <c r="A94" s="43">
        <v>300058236</v>
      </c>
      <c r="B94" s="44" t="s">
        <v>52</v>
      </c>
      <c r="C94" s="38">
        <v>300056037</v>
      </c>
      <c r="D94" s="39" t="s">
        <v>5</v>
      </c>
      <c r="E94" s="45">
        <v>6</v>
      </c>
      <c r="F94" s="43" t="s">
        <v>6</v>
      </c>
      <c r="G94" s="41">
        <f t="shared" si="1"/>
        <v>0</v>
      </c>
    </row>
    <row r="95" spans="1:7" x14ac:dyDescent="0.35">
      <c r="A95" s="43">
        <v>300058236</v>
      </c>
      <c r="B95" s="44" t="s">
        <v>52</v>
      </c>
      <c r="C95" s="38">
        <v>300056038</v>
      </c>
      <c r="D95" s="39" t="s">
        <v>7</v>
      </c>
      <c r="E95" s="45">
        <v>4</v>
      </c>
      <c r="F95" s="43" t="s">
        <v>6</v>
      </c>
      <c r="G95" s="41">
        <f t="shared" si="1"/>
        <v>0</v>
      </c>
    </row>
    <row r="96" spans="1:7" x14ac:dyDescent="0.35">
      <c r="A96" s="43">
        <v>300058236</v>
      </c>
      <c r="B96" s="44" t="s">
        <v>52</v>
      </c>
      <c r="C96" s="38">
        <v>300056039</v>
      </c>
      <c r="D96" s="39" t="s">
        <v>8</v>
      </c>
      <c r="E96" s="45">
        <v>4</v>
      </c>
      <c r="F96" s="43" t="s">
        <v>6</v>
      </c>
      <c r="G96" s="41">
        <f t="shared" si="1"/>
        <v>0</v>
      </c>
    </row>
    <row r="97" spans="1:7 16293:16300" x14ac:dyDescent="0.35">
      <c r="A97" s="43">
        <v>300058236</v>
      </c>
      <c r="B97" s="44" t="s">
        <v>52</v>
      </c>
      <c r="C97" s="38">
        <v>300062962</v>
      </c>
      <c r="D97" s="39" t="s">
        <v>46</v>
      </c>
      <c r="E97" s="45">
        <v>12</v>
      </c>
      <c r="F97" s="43" t="s">
        <v>6</v>
      </c>
      <c r="G97" s="41">
        <f t="shared" si="1"/>
        <v>0</v>
      </c>
      <c r="XBQ97" s="18"/>
      <c r="XBR97" s="19"/>
      <c r="XBS97" s="20"/>
      <c r="XBT97" s="21"/>
      <c r="XBU97" s="22"/>
      <c r="XBV97" s="18"/>
      <c r="XBW97" s="17"/>
      <c r="XBX97" s="15"/>
    </row>
    <row r="98" spans="1:7 16293:16300" x14ac:dyDescent="0.35">
      <c r="A98" s="43">
        <v>300058236</v>
      </c>
      <c r="B98" s="44" t="s">
        <v>52</v>
      </c>
      <c r="C98" s="38">
        <v>300056056</v>
      </c>
      <c r="D98" s="39" t="s">
        <v>29</v>
      </c>
      <c r="E98" s="45">
        <v>10</v>
      </c>
      <c r="F98" s="43" t="s">
        <v>6</v>
      </c>
      <c r="G98" s="41">
        <f t="shared" si="1"/>
        <v>0</v>
      </c>
    </row>
    <row r="99" spans="1:7 16293:16300" x14ac:dyDescent="0.35">
      <c r="A99" s="43">
        <v>300058236</v>
      </c>
      <c r="B99" s="44" t="s">
        <v>52</v>
      </c>
      <c r="C99" s="38">
        <v>300056131</v>
      </c>
      <c r="D99" s="39" t="s">
        <v>44</v>
      </c>
      <c r="E99" s="45">
        <v>10</v>
      </c>
      <c r="F99" s="43" t="s">
        <v>6</v>
      </c>
      <c r="G99" s="41">
        <f t="shared" si="1"/>
        <v>0</v>
      </c>
    </row>
    <row r="100" spans="1:7 16293:16300" x14ac:dyDescent="0.35">
      <c r="A100" s="43">
        <v>300058236</v>
      </c>
      <c r="B100" s="44" t="s">
        <v>52</v>
      </c>
      <c r="C100" s="38">
        <v>300057925</v>
      </c>
      <c r="D100" s="39" t="s">
        <v>38</v>
      </c>
      <c r="E100" s="45">
        <v>4</v>
      </c>
      <c r="F100" s="43" t="s">
        <v>6</v>
      </c>
      <c r="G100" s="41">
        <f t="shared" si="1"/>
        <v>0</v>
      </c>
    </row>
    <row r="101" spans="1:7 16293:16300" x14ac:dyDescent="0.35">
      <c r="A101" s="43">
        <v>300058236</v>
      </c>
      <c r="B101" s="44" t="s">
        <v>52</v>
      </c>
      <c r="C101" s="38">
        <v>300058062</v>
      </c>
      <c r="D101" s="39" t="s">
        <v>45</v>
      </c>
      <c r="E101" s="45">
        <v>4</v>
      </c>
      <c r="F101" s="43" t="s">
        <v>6</v>
      </c>
      <c r="G101" s="41">
        <f t="shared" si="1"/>
        <v>0</v>
      </c>
    </row>
    <row r="102" spans="1:7 16293:16300" x14ac:dyDescent="0.35">
      <c r="A102" s="43">
        <v>300058236</v>
      </c>
      <c r="B102" s="44" t="s">
        <v>52</v>
      </c>
      <c r="C102" s="38">
        <v>300058885</v>
      </c>
      <c r="D102" s="39" t="s">
        <v>40</v>
      </c>
      <c r="E102" s="45">
        <v>8</v>
      </c>
      <c r="F102" s="43" t="s">
        <v>6</v>
      </c>
      <c r="G102" s="41">
        <f t="shared" si="1"/>
        <v>0</v>
      </c>
    </row>
    <row r="103" spans="1:7 16293:16300" x14ac:dyDescent="0.35">
      <c r="A103" s="43">
        <v>300058236</v>
      </c>
      <c r="B103" s="44" t="s">
        <v>52</v>
      </c>
      <c r="C103" s="43">
        <v>400040043</v>
      </c>
      <c r="D103" s="44" t="s">
        <v>10</v>
      </c>
      <c r="E103" s="45">
        <v>1</v>
      </c>
      <c r="F103" s="43" t="s">
        <v>6</v>
      </c>
      <c r="G103" s="41">
        <f t="shared" si="1"/>
        <v>0</v>
      </c>
    </row>
    <row r="104" spans="1:7 16293:16300" x14ac:dyDescent="0.35">
      <c r="A104" s="43">
        <v>300058236</v>
      </c>
      <c r="B104" s="44" t="s">
        <v>52</v>
      </c>
      <c r="C104" s="43">
        <v>400052671</v>
      </c>
      <c r="D104" s="44" t="s">
        <v>56</v>
      </c>
      <c r="E104" s="45">
        <v>1</v>
      </c>
      <c r="F104" s="43" t="s">
        <v>6</v>
      </c>
      <c r="G104" s="41">
        <f t="shared" si="1"/>
        <v>0</v>
      </c>
    </row>
    <row r="105" spans="1:7 16293:16300" x14ac:dyDescent="0.35">
      <c r="A105" s="43">
        <v>300058236</v>
      </c>
      <c r="B105" s="44" t="s">
        <v>52</v>
      </c>
      <c r="C105" s="43">
        <v>400068847</v>
      </c>
      <c r="D105" s="44" t="s">
        <v>55</v>
      </c>
      <c r="E105" s="45">
        <v>2</v>
      </c>
      <c r="F105" s="43" t="s">
        <v>6</v>
      </c>
      <c r="G105" s="41">
        <f t="shared" si="1"/>
        <v>0</v>
      </c>
    </row>
    <row r="106" spans="1:7 16293:16300" x14ac:dyDescent="0.35">
      <c r="A106" s="38">
        <v>300057390</v>
      </c>
      <c r="B106" s="39" t="s">
        <v>28</v>
      </c>
      <c r="C106" s="38">
        <v>300056056</v>
      </c>
      <c r="D106" s="39" t="s">
        <v>29</v>
      </c>
      <c r="E106" s="42">
        <v>108</v>
      </c>
      <c r="F106" s="38" t="s">
        <v>6</v>
      </c>
      <c r="G106" s="41">
        <f t="shared" si="1"/>
        <v>0</v>
      </c>
    </row>
    <row r="107" spans="1:7 16293:16300" x14ac:dyDescent="0.35">
      <c r="A107" s="38">
        <v>300057390</v>
      </c>
      <c r="B107" s="39" t="s">
        <v>28</v>
      </c>
      <c r="C107" s="38">
        <v>400040043</v>
      </c>
      <c r="D107" s="39" t="s">
        <v>10</v>
      </c>
      <c r="E107" s="42">
        <v>1</v>
      </c>
      <c r="F107" s="38" t="s">
        <v>6</v>
      </c>
      <c r="G107" s="41">
        <f t="shared" si="1"/>
        <v>0</v>
      </c>
    </row>
    <row r="108" spans="1:7 16293:16300" x14ac:dyDescent="0.35">
      <c r="A108" s="38">
        <v>300057390</v>
      </c>
      <c r="B108" s="39" t="s">
        <v>28</v>
      </c>
      <c r="C108" s="38">
        <v>400052673</v>
      </c>
      <c r="D108" s="39" t="s">
        <v>57</v>
      </c>
      <c r="E108" s="42">
        <v>1</v>
      </c>
      <c r="F108" s="38" t="s">
        <v>6</v>
      </c>
      <c r="G108" s="41">
        <f t="shared" si="1"/>
        <v>0</v>
      </c>
    </row>
    <row r="109" spans="1:7 16293:16300" x14ac:dyDescent="0.35">
      <c r="A109" s="38">
        <v>300057390</v>
      </c>
      <c r="B109" s="39" t="s">
        <v>28</v>
      </c>
      <c r="C109" s="38">
        <v>400059910</v>
      </c>
      <c r="D109" s="39" t="s">
        <v>58</v>
      </c>
      <c r="E109" s="42">
        <v>9</v>
      </c>
      <c r="F109" s="38" t="s">
        <v>6</v>
      </c>
      <c r="G109" s="41">
        <f t="shared" si="1"/>
        <v>0</v>
      </c>
    </row>
    <row r="110" spans="1:7 16293:16300" x14ac:dyDescent="0.35">
      <c r="A110" s="38">
        <v>300042478</v>
      </c>
      <c r="B110" s="39" t="s">
        <v>59</v>
      </c>
      <c r="C110" s="38">
        <v>300056040</v>
      </c>
      <c r="D110" s="39" t="s">
        <v>60</v>
      </c>
      <c r="E110" s="42">
        <v>60</v>
      </c>
      <c r="F110" s="38" t="s">
        <v>6</v>
      </c>
      <c r="G110" s="41">
        <f t="shared" si="1"/>
        <v>0</v>
      </c>
    </row>
    <row r="111" spans="1:7 16293:16300" x14ac:dyDescent="0.35">
      <c r="A111" s="38">
        <v>300042478</v>
      </c>
      <c r="B111" s="39" t="s">
        <v>59</v>
      </c>
      <c r="C111" s="38">
        <v>400030952</v>
      </c>
      <c r="D111" s="39" t="s">
        <v>9</v>
      </c>
      <c r="E111" s="42">
        <v>1</v>
      </c>
      <c r="F111" s="38" t="s">
        <v>6</v>
      </c>
      <c r="G111" s="41">
        <f t="shared" si="1"/>
        <v>0</v>
      </c>
    </row>
    <row r="112" spans="1:7 16293:16300" x14ac:dyDescent="0.35">
      <c r="A112" s="38">
        <v>300042478</v>
      </c>
      <c r="B112" s="39" t="s">
        <v>59</v>
      </c>
      <c r="C112" s="38">
        <v>400040043</v>
      </c>
      <c r="D112" s="39" t="s">
        <v>10</v>
      </c>
      <c r="E112" s="42">
        <v>1</v>
      </c>
      <c r="F112" s="38" t="s">
        <v>6</v>
      </c>
      <c r="G112" s="41">
        <f t="shared" si="1"/>
        <v>0</v>
      </c>
    </row>
    <row r="113" spans="1:7" x14ac:dyDescent="0.35">
      <c r="A113" s="38">
        <v>300042478</v>
      </c>
      <c r="B113" s="39" t="s">
        <v>59</v>
      </c>
      <c r="C113" s="38">
        <v>400000</v>
      </c>
      <c r="D113" s="39" t="s">
        <v>61</v>
      </c>
      <c r="E113" s="42">
        <v>6</v>
      </c>
      <c r="F113" s="38" t="s">
        <v>6</v>
      </c>
      <c r="G113" s="41">
        <f t="shared" si="1"/>
        <v>0</v>
      </c>
    </row>
    <row r="114" spans="1:7" x14ac:dyDescent="0.35">
      <c r="A114" s="38">
        <v>300056040</v>
      </c>
      <c r="B114" s="39" t="s">
        <v>60</v>
      </c>
      <c r="C114" s="38">
        <v>300058885</v>
      </c>
      <c r="D114" s="39" t="s">
        <v>40</v>
      </c>
      <c r="E114" s="42">
        <v>80</v>
      </c>
      <c r="F114" s="38" t="s">
        <v>6</v>
      </c>
      <c r="G114" s="41">
        <f t="shared" si="1"/>
        <v>0</v>
      </c>
    </row>
    <row r="115" spans="1:7" x14ac:dyDescent="0.35">
      <c r="A115" s="38">
        <v>300056040</v>
      </c>
      <c r="B115" s="39" t="s">
        <v>60</v>
      </c>
      <c r="C115" s="38">
        <v>400040043</v>
      </c>
      <c r="D115" s="39" t="s">
        <v>10</v>
      </c>
      <c r="E115" s="42">
        <v>1</v>
      </c>
      <c r="F115" s="38" t="s">
        <v>6</v>
      </c>
      <c r="G115" s="41">
        <f t="shared" si="1"/>
        <v>0</v>
      </c>
    </row>
    <row r="116" spans="1:7" x14ac:dyDescent="0.35">
      <c r="A116" s="38">
        <v>300056040</v>
      </c>
      <c r="B116" s="39" t="s">
        <v>60</v>
      </c>
      <c r="C116" s="38">
        <v>400052372</v>
      </c>
      <c r="D116" s="39" t="s">
        <v>32</v>
      </c>
      <c r="E116" s="42">
        <v>1</v>
      </c>
      <c r="F116" s="38" t="s">
        <v>6</v>
      </c>
      <c r="G116" s="41">
        <f t="shared" si="1"/>
        <v>0</v>
      </c>
    </row>
    <row r="117" spans="1:7" x14ac:dyDescent="0.35">
      <c r="A117" s="38">
        <v>300056040</v>
      </c>
      <c r="B117" s="39" t="s">
        <v>60</v>
      </c>
      <c r="C117" s="38">
        <v>400059914</v>
      </c>
      <c r="D117" s="39" t="s">
        <v>62</v>
      </c>
      <c r="E117" s="42">
        <v>8</v>
      </c>
      <c r="F117" s="38" t="s">
        <v>6</v>
      </c>
      <c r="G117" s="41">
        <f t="shared" si="1"/>
        <v>0</v>
      </c>
    </row>
    <row r="118" spans="1:7" x14ac:dyDescent="0.35">
      <c r="A118" s="38">
        <v>300033887</v>
      </c>
      <c r="B118" s="39" t="s">
        <v>26</v>
      </c>
      <c r="C118" s="38">
        <v>300056039</v>
      </c>
      <c r="D118" s="39" t="s">
        <v>8</v>
      </c>
      <c r="E118" s="42">
        <v>72</v>
      </c>
      <c r="F118" s="38" t="s">
        <v>6</v>
      </c>
      <c r="G118" s="41">
        <f t="shared" si="1"/>
        <v>0</v>
      </c>
    </row>
    <row r="119" spans="1:7" x14ac:dyDescent="0.35">
      <c r="A119" s="38">
        <v>300033887</v>
      </c>
      <c r="B119" s="39" t="s">
        <v>26</v>
      </c>
      <c r="C119" s="38">
        <v>400058147</v>
      </c>
      <c r="D119" s="39" t="s">
        <v>63</v>
      </c>
      <c r="E119" s="42">
        <v>6</v>
      </c>
      <c r="F119" s="38" t="s">
        <v>6</v>
      </c>
      <c r="G119" s="41">
        <f t="shared" si="1"/>
        <v>0</v>
      </c>
    </row>
    <row r="120" spans="1:7" x14ac:dyDescent="0.35">
      <c r="A120" s="38">
        <v>300033887</v>
      </c>
      <c r="B120" s="39" t="s">
        <v>26</v>
      </c>
      <c r="C120" s="38">
        <v>400052372</v>
      </c>
      <c r="D120" s="39" t="s">
        <v>32</v>
      </c>
      <c r="E120" s="42">
        <v>1</v>
      </c>
      <c r="F120" s="38" t="s">
        <v>6</v>
      </c>
      <c r="G120" s="41">
        <f t="shared" si="1"/>
        <v>0</v>
      </c>
    </row>
    <row r="121" spans="1:7" x14ac:dyDescent="0.35">
      <c r="A121" s="38">
        <v>300033887</v>
      </c>
      <c r="B121" s="39" t="s">
        <v>26</v>
      </c>
      <c r="C121" s="38">
        <v>400040043</v>
      </c>
      <c r="D121" s="39" t="s">
        <v>10</v>
      </c>
      <c r="E121" s="42">
        <v>1</v>
      </c>
      <c r="F121" s="38" t="s">
        <v>6</v>
      </c>
      <c r="G121" s="41">
        <f t="shared" si="1"/>
        <v>0</v>
      </c>
    </row>
    <row r="122" spans="1:7" x14ac:dyDescent="0.35">
      <c r="A122" s="38">
        <v>300055844</v>
      </c>
      <c r="B122" s="39" t="s">
        <v>23</v>
      </c>
      <c r="C122" s="38">
        <v>300065339</v>
      </c>
      <c r="D122" s="39" t="s">
        <v>24</v>
      </c>
      <c r="E122" s="42">
        <v>72</v>
      </c>
      <c r="F122" s="38" t="s">
        <v>6</v>
      </c>
      <c r="G122" s="41">
        <f t="shared" si="1"/>
        <v>0</v>
      </c>
    </row>
    <row r="123" spans="1:7" x14ac:dyDescent="0.35">
      <c r="A123" s="38">
        <v>300055844</v>
      </c>
      <c r="B123" s="39" t="s">
        <v>23</v>
      </c>
      <c r="C123" s="38">
        <v>400052671</v>
      </c>
      <c r="D123" s="39" t="s">
        <v>56</v>
      </c>
      <c r="E123" s="42">
        <v>1</v>
      </c>
      <c r="F123" s="38" t="s">
        <v>6</v>
      </c>
      <c r="G123" s="41">
        <f t="shared" si="1"/>
        <v>0</v>
      </c>
    </row>
    <row r="124" spans="1:7" x14ac:dyDescent="0.35">
      <c r="A124" s="38">
        <v>300055844</v>
      </c>
      <c r="B124" s="39" t="s">
        <v>23</v>
      </c>
      <c r="C124" s="38">
        <v>400062726</v>
      </c>
      <c r="D124" s="39" t="s">
        <v>64</v>
      </c>
      <c r="E124" s="42">
        <v>6</v>
      </c>
      <c r="F124" s="38" t="s">
        <v>6</v>
      </c>
      <c r="G124" s="41">
        <f t="shared" si="1"/>
        <v>0</v>
      </c>
    </row>
    <row r="125" spans="1:7" x14ac:dyDescent="0.35">
      <c r="A125" s="38">
        <v>300055844</v>
      </c>
      <c r="B125" s="39" t="s">
        <v>23</v>
      </c>
      <c r="C125" s="38">
        <v>400040043</v>
      </c>
      <c r="D125" s="39" t="s">
        <v>10</v>
      </c>
      <c r="E125" s="42">
        <v>1</v>
      </c>
      <c r="F125" s="38" t="s">
        <v>6</v>
      </c>
      <c r="G125" s="41">
        <f t="shared" si="1"/>
        <v>0</v>
      </c>
    </row>
    <row r="126" spans="1:7" s="23" customFormat="1" x14ac:dyDescent="0.35">
      <c r="A126" s="38">
        <v>300056678</v>
      </c>
      <c r="B126" s="39" t="s">
        <v>65</v>
      </c>
      <c r="C126" s="38">
        <v>300065339</v>
      </c>
      <c r="D126" s="39" t="s">
        <v>24</v>
      </c>
      <c r="E126" s="42">
        <v>36</v>
      </c>
      <c r="F126" s="38" t="s">
        <v>6</v>
      </c>
      <c r="G126" s="41">
        <f t="shared" si="1"/>
        <v>0</v>
      </c>
    </row>
    <row r="127" spans="1:7" s="23" customFormat="1" x14ac:dyDescent="0.35">
      <c r="A127" s="38">
        <v>300056678</v>
      </c>
      <c r="B127" s="39" t="s">
        <v>65</v>
      </c>
      <c r="C127" s="38">
        <v>400052673</v>
      </c>
      <c r="D127" s="39" t="s">
        <v>57</v>
      </c>
      <c r="E127" s="42">
        <v>1</v>
      </c>
      <c r="F127" s="38" t="s">
        <v>6</v>
      </c>
      <c r="G127" s="41">
        <f t="shared" si="1"/>
        <v>0</v>
      </c>
    </row>
    <row r="128" spans="1:7" s="23" customFormat="1" x14ac:dyDescent="0.35">
      <c r="A128" s="38">
        <v>300056678</v>
      </c>
      <c r="B128" s="39" t="s">
        <v>65</v>
      </c>
      <c r="C128" s="38">
        <v>400062723</v>
      </c>
      <c r="D128" s="39" t="s">
        <v>66</v>
      </c>
      <c r="E128" s="42">
        <v>6</v>
      </c>
      <c r="F128" s="38" t="s">
        <v>6</v>
      </c>
      <c r="G128" s="41">
        <f t="shared" si="1"/>
        <v>0</v>
      </c>
    </row>
    <row r="129" spans="1:7" s="23" customFormat="1" x14ac:dyDescent="0.35">
      <c r="A129" s="38">
        <v>300056678</v>
      </c>
      <c r="B129" s="39" t="s">
        <v>65</v>
      </c>
      <c r="C129" s="38">
        <v>400040043</v>
      </c>
      <c r="D129" s="39" t="s">
        <v>10</v>
      </c>
      <c r="E129" s="42">
        <v>1</v>
      </c>
      <c r="F129" s="38" t="s">
        <v>6</v>
      </c>
      <c r="G129" s="41">
        <f t="shared" si="1"/>
        <v>0</v>
      </c>
    </row>
    <row r="130" spans="1:7" x14ac:dyDescent="0.35">
      <c r="A130" s="38">
        <v>300055849</v>
      </c>
      <c r="B130" s="39" t="s">
        <v>67</v>
      </c>
      <c r="C130" s="38">
        <v>300063074</v>
      </c>
      <c r="D130" s="39" t="s">
        <v>37</v>
      </c>
      <c r="E130" s="42">
        <v>96</v>
      </c>
      <c r="F130" s="38" t="s">
        <v>6</v>
      </c>
      <c r="G130" s="41">
        <f t="shared" si="1"/>
        <v>0</v>
      </c>
    </row>
    <row r="131" spans="1:7" x14ac:dyDescent="0.35">
      <c r="A131" s="38">
        <v>300055849</v>
      </c>
      <c r="B131" s="39" t="s">
        <v>67</v>
      </c>
      <c r="C131" s="38">
        <v>400052672</v>
      </c>
      <c r="D131" s="39" t="s">
        <v>41</v>
      </c>
      <c r="E131" s="42">
        <v>1</v>
      </c>
      <c r="F131" s="38" t="s">
        <v>6</v>
      </c>
      <c r="G131" s="41">
        <f t="shared" si="1"/>
        <v>0</v>
      </c>
    </row>
    <row r="132" spans="1:7" x14ac:dyDescent="0.35">
      <c r="A132" s="38">
        <v>300055849</v>
      </c>
      <c r="B132" s="39" t="s">
        <v>67</v>
      </c>
      <c r="C132" s="38">
        <v>400066229</v>
      </c>
      <c r="D132" s="39" t="s">
        <v>68</v>
      </c>
      <c r="E132" s="42">
        <v>8</v>
      </c>
      <c r="F132" s="38" t="s">
        <v>6</v>
      </c>
      <c r="G132" s="41">
        <f t="shared" ref="G132:G195" si="2">+$G$3*E132</f>
        <v>0</v>
      </c>
    </row>
    <row r="133" spans="1:7" x14ac:dyDescent="0.35">
      <c r="A133" s="38">
        <v>300055849</v>
      </c>
      <c r="B133" s="39" t="s">
        <v>67</v>
      </c>
      <c r="C133" s="38">
        <v>400040043</v>
      </c>
      <c r="D133" s="39" t="s">
        <v>10</v>
      </c>
      <c r="E133" s="42">
        <v>1</v>
      </c>
      <c r="F133" s="38" t="s">
        <v>6</v>
      </c>
      <c r="G133" s="41">
        <f t="shared" si="2"/>
        <v>0</v>
      </c>
    </row>
    <row r="134" spans="1:7" s="23" customFormat="1" x14ac:dyDescent="0.35">
      <c r="A134" s="38">
        <v>300056054</v>
      </c>
      <c r="B134" s="39" t="s">
        <v>69</v>
      </c>
      <c r="C134" s="38">
        <v>300062962</v>
      </c>
      <c r="D134" s="39" t="s">
        <v>46</v>
      </c>
      <c r="E134" s="42">
        <v>72</v>
      </c>
      <c r="F134" s="38" t="s">
        <v>6</v>
      </c>
      <c r="G134" s="41">
        <f t="shared" si="2"/>
        <v>0</v>
      </c>
    </row>
    <row r="135" spans="1:7" s="23" customFormat="1" x14ac:dyDescent="0.35">
      <c r="A135" s="38">
        <v>300056054</v>
      </c>
      <c r="B135" s="39" t="s">
        <v>69</v>
      </c>
      <c r="C135" s="38">
        <v>400052372</v>
      </c>
      <c r="D135" s="39" t="s">
        <v>32</v>
      </c>
      <c r="E135" s="42">
        <v>1</v>
      </c>
      <c r="F135" s="38" t="s">
        <v>6</v>
      </c>
      <c r="G135" s="41">
        <f t="shared" si="2"/>
        <v>0</v>
      </c>
    </row>
    <row r="136" spans="1:7" s="23" customFormat="1" x14ac:dyDescent="0.35">
      <c r="A136" s="38">
        <v>300056054</v>
      </c>
      <c r="B136" s="39" t="s">
        <v>69</v>
      </c>
      <c r="C136" s="38">
        <v>400063428</v>
      </c>
      <c r="D136" s="39" t="s">
        <v>70</v>
      </c>
      <c r="E136" s="42">
        <v>6</v>
      </c>
      <c r="F136" s="38" t="s">
        <v>6</v>
      </c>
      <c r="G136" s="41">
        <f t="shared" si="2"/>
        <v>0</v>
      </c>
    </row>
    <row r="137" spans="1:7" s="23" customFormat="1" x14ac:dyDescent="0.35">
      <c r="A137" s="38">
        <v>300056054</v>
      </c>
      <c r="B137" s="39" t="s">
        <v>69</v>
      </c>
      <c r="C137" s="38">
        <v>400040043</v>
      </c>
      <c r="D137" s="39" t="s">
        <v>10</v>
      </c>
      <c r="E137" s="42">
        <v>1</v>
      </c>
      <c r="F137" s="38" t="s">
        <v>6</v>
      </c>
      <c r="G137" s="41">
        <f t="shared" si="2"/>
        <v>0</v>
      </c>
    </row>
    <row r="138" spans="1:7" s="1" customFormat="1" x14ac:dyDescent="0.35">
      <c r="A138" s="43">
        <v>300033627</v>
      </c>
      <c r="B138" s="44" t="s">
        <v>71</v>
      </c>
      <c r="C138" s="43">
        <v>300056028</v>
      </c>
      <c r="D138" s="44" t="s">
        <v>53</v>
      </c>
      <c r="E138" s="45">
        <v>48</v>
      </c>
      <c r="F138" s="43" t="s">
        <v>6</v>
      </c>
      <c r="G138" s="41">
        <f t="shared" si="2"/>
        <v>0</v>
      </c>
    </row>
    <row r="139" spans="1:7" s="1" customFormat="1" x14ac:dyDescent="0.35">
      <c r="A139" s="43">
        <v>300033627</v>
      </c>
      <c r="B139" s="44" t="s">
        <v>71</v>
      </c>
      <c r="C139" s="43">
        <v>300056030</v>
      </c>
      <c r="D139" s="44" t="s">
        <v>54</v>
      </c>
      <c r="E139" s="45">
        <v>48</v>
      </c>
      <c r="F139" s="43" t="s">
        <v>6</v>
      </c>
      <c r="G139" s="41">
        <f t="shared" si="2"/>
        <v>0</v>
      </c>
    </row>
    <row r="140" spans="1:7" s="1" customFormat="1" x14ac:dyDescent="0.35">
      <c r="A140" s="43">
        <v>300033627</v>
      </c>
      <c r="B140" s="44" t="s">
        <v>71</v>
      </c>
      <c r="C140" s="43">
        <v>400030486</v>
      </c>
      <c r="D140" s="44" t="s">
        <v>72</v>
      </c>
      <c r="E140" s="46">
        <v>3.2</v>
      </c>
      <c r="F140" s="43" t="s">
        <v>15</v>
      </c>
      <c r="G140" s="41">
        <f t="shared" si="2"/>
        <v>0</v>
      </c>
    </row>
    <row r="141" spans="1:7" s="1" customFormat="1" x14ac:dyDescent="0.35">
      <c r="A141" s="43">
        <v>300033627</v>
      </c>
      <c r="B141" s="44" t="s">
        <v>71</v>
      </c>
      <c r="C141" s="43">
        <v>400043475</v>
      </c>
      <c r="D141" s="44" t="s">
        <v>51</v>
      </c>
      <c r="E141" s="45">
        <v>1</v>
      </c>
      <c r="F141" s="43" t="s">
        <v>6</v>
      </c>
      <c r="G141" s="41">
        <f t="shared" si="2"/>
        <v>0</v>
      </c>
    </row>
    <row r="142" spans="1:7" s="1" customFormat="1" x14ac:dyDescent="0.35">
      <c r="A142" s="43">
        <v>300033627</v>
      </c>
      <c r="B142" s="44" t="s">
        <v>71</v>
      </c>
      <c r="C142" s="43">
        <v>400040043</v>
      </c>
      <c r="D142" s="44" t="s">
        <v>10</v>
      </c>
      <c r="E142" s="45">
        <v>1</v>
      </c>
      <c r="F142" s="43" t="s">
        <v>6</v>
      </c>
      <c r="G142" s="41">
        <f t="shared" si="2"/>
        <v>0</v>
      </c>
    </row>
    <row r="143" spans="1:7" s="1" customFormat="1" x14ac:dyDescent="0.35">
      <c r="A143" s="43">
        <v>300033627</v>
      </c>
      <c r="B143" s="44" t="s">
        <v>71</v>
      </c>
      <c r="C143" s="43">
        <v>400030451</v>
      </c>
      <c r="D143" s="44" t="s">
        <v>17</v>
      </c>
      <c r="E143" s="45">
        <v>8</v>
      </c>
      <c r="F143" s="43" t="s">
        <v>6</v>
      </c>
      <c r="G143" s="41">
        <f t="shared" si="2"/>
        <v>0</v>
      </c>
    </row>
    <row r="144" spans="1:7" x14ac:dyDescent="0.35">
      <c r="A144" s="38">
        <v>300061972</v>
      </c>
      <c r="B144" s="39" t="s">
        <v>73</v>
      </c>
      <c r="C144" s="38">
        <v>300057168</v>
      </c>
      <c r="D144" s="39" t="s">
        <v>74</v>
      </c>
      <c r="E144" s="42">
        <v>12</v>
      </c>
      <c r="F144" s="38" t="s">
        <v>6</v>
      </c>
      <c r="G144" s="41">
        <f t="shared" si="2"/>
        <v>0</v>
      </c>
    </row>
    <row r="145" spans="1:7" x14ac:dyDescent="0.35">
      <c r="A145" s="38">
        <v>300061972</v>
      </c>
      <c r="B145" s="39" t="s">
        <v>73</v>
      </c>
      <c r="C145" s="38">
        <v>300059748</v>
      </c>
      <c r="D145" s="39" t="s">
        <v>75</v>
      </c>
      <c r="E145" s="42">
        <v>6</v>
      </c>
      <c r="F145" s="38" t="s">
        <v>6</v>
      </c>
      <c r="G145" s="41">
        <f t="shared" si="2"/>
        <v>0</v>
      </c>
    </row>
    <row r="146" spans="1:7" x14ac:dyDescent="0.35">
      <c r="A146" s="38">
        <v>300061972</v>
      </c>
      <c r="B146" s="39" t="s">
        <v>73</v>
      </c>
      <c r="C146" s="38">
        <v>400030954</v>
      </c>
      <c r="D146" s="39" t="s">
        <v>30</v>
      </c>
      <c r="E146" s="42">
        <v>1</v>
      </c>
      <c r="F146" s="38" t="s">
        <v>6</v>
      </c>
      <c r="G146" s="41">
        <f t="shared" si="2"/>
        <v>0</v>
      </c>
    </row>
    <row r="147" spans="1:7" x14ac:dyDescent="0.35">
      <c r="A147" s="38">
        <v>300061972</v>
      </c>
      <c r="B147" s="39" t="s">
        <v>73</v>
      </c>
      <c r="C147" s="38">
        <v>400040043</v>
      </c>
      <c r="D147" s="39" t="s">
        <v>10</v>
      </c>
      <c r="E147" s="42">
        <v>1</v>
      </c>
      <c r="F147" s="38" t="s">
        <v>6</v>
      </c>
      <c r="G147" s="41">
        <f t="shared" si="2"/>
        <v>0</v>
      </c>
    </row>
    <row r="148" spans="1:7" x14ac:dyDescent="0.35">
      <c r="A148" s="38">
        <v>300061972</v>
      </c>
      <c r="B148" s="39" t="s">
        <v>73</v>
      </c>
      <c r="C148" s="38">
        <v>400030451</v>
      </c>
      <c r="D148" s="39" t="s">
        <v>17</v>
      </c>
      <c r="E148" s="42">
        <v>6</v>
      </c>
      <c r="F148" s="38" t="s">
        <v>6</v>
      </c>
      <c r="G148" s="41">
        <f t="shared" si="2"/>
        <v>0</v>
      </c>
    </row>
    <row r="149" spans="1:7" s="23" customFormat="1" x14ac:dyDescent="0.35">
      <c r="A149" s="38">
        <v>300061971</v>
      </c>
      <c r="B149" s="39" t="s">
        <v>76</v>
      </c>
      <c r="C149" s="38">
        <v>300059748</v>
      </c>
      <c r="D149" s="39" t="s">
        <v>75</v>
      </c>
      <c r="E149" s="42">
        <v>12</v>
      </c>
      <c r="F149" s="38" t="s">
        <v>6</v>
      </c>
      <c r="G149" s="41">
        <f t="shared" si="2"/>
        <v>0</v>
      </c>
    </row>
    <row r="150" spans="1:7" s="23" customFormat="1" x14ac:dyDescent="0.35">
      <c r="A150" s="38">
        <v>300061971</v>
      </c>
      <c r="B150" s="39" t="s">
        <v>76</v>
      </c>
      <c r="C150" s="38">
        <v>300057168</v>
      </c>
      <c r="D150" s="39" t="s">
        <v>74</v>
      </c>
      <c r="E150" s="42">
        <v>6</v>
      </c>
      <c r="F150" s="38" t="s">
        <v>6</v>
      </c>
      <c r="G150" s="41">
        <f t="shared" si="2"/>
        <v>0</v>
      </c>
    </row>
    <row r="151" spans="1:7" s="23" customFormat="1" x14ac:dyDescent="0.35">
      <c r="A151" s="38">
        <v>300061971</v>
      </c>
      <c r="B151" s="39" t="s">
        <v>76</v>
      </c>
      <c r="C151" s="38">
        <v>400030625</v>
      </c>
      <c r="D151" s="39" t="s">
        <v>77</v>
      </c>
      <c r="E151" s="42">
        <v>1</v>
      </c>
      <c r="F151" s="38" t="s">
        <v>6</v>
      </c>
      <c r="G151" s="41">
        <f t="shared" si="2"/>
        <v>0</v>
      </c>
    </row>
    <row r="152" spans="1:7" s="23" customFormat="1" x14ac:dyDescent="0.35">
      <c r="A152" s="38">
        <v>300061971</v>
      </c>
      <c r="B152" s="39" t="s">
        <v>76</v>
      </c>
      <c r="C152" s="38">
        <v>400040043</v>
      </c>
      <c r="D152" s="39" t="s">
        <v>10</v>
      </c>
      <c r="E152" s="42">
        <v>1</v>
      </c>
      <c r="F152" s="38" t="s">
        <v>6</v>
      </c>
      <c r="G152" s="41">
        <f t="shared" si="2"/>
        <v>0</v>
      </c>
    </row>
    <row r="153" spans="1:7" s="23" customFormat="1" x14ac:dyDescent="0.35">
      <c r="A153" s="38">
        <v>300061971</v>
      </c>
      <c r="B153" s="39" t="s">
        <v>76</v>
      </c>
      <c r="C153" s="38">
        <v>400030451</v>
      </c>
      <c r="D153" s="39" t="s">
        <v>17</v>
      </c>
      <c r="E153" s="42">
        <v>6</v>
      </c>
      <c r="F153" s="38" t="s">
        <v>6</v>
      </c>
      <c r="G153" s="41">
        <f t="shared" si="2"/>
        <v>0</v>
      </c>
    </row>
    <row r="154" spans="1:7" x14ac:dyDescent="0.35">
      <c r="A154" s="38">
        <v>300061973</v>
      </c>
      <c r="B154" s="39" t="s">
        <v>78</v>
      </c>
      <c r="C154" s="38">
        <v>300062893</v>
      </c>
      <c r="D154" s="39" t="s">
        <v>79</v>
      </c>
      <c r="E154" s="42">
        <v>12</v>
      </c>
      <c r="F154" s="38" t="s">
        <v>6</v>
      </c>
      <c r="G154" s="41">
        <f t="shared" si="2"/>
        <v>0</v>
      </c>
    </row>
    <row r="155" spans="1:7" x14ac:dyDescent="0.35">
      <c r="A155" s="38">
        <v>300061973</v>
      </c>
      <c r="B155" s="39" t="s">
        <v>78</v>
      </c>
      <c r="C155" s="38">
        <v>300059748</v>
      </c>
      <c r="D155" s="39" t="s">
        <v>75</v>
      </c>
      <c r="E155" s="42">
        <v>6</v>
      </c>
      <c r="F155" s="38" t="s">
        <v>6</v>
      </c>
      <c r="G155" s="41">
        <f t="shared" si="2"/>
        <v>0</v>
      </c>
    </row>
    <row r="156" spans="1:7" x14ac:dyDescent="0.35">
      <c r="A156" s="38">
        <v>300061973</v>
      </c>
      <c r="B156" s="39" t="s">
        <v>78</v>
      </c>
      <c r="C156" s="38">
        <v>400030625</v>
      </c>
      <c r="D156" s="39" t="s">
        <v>77</v>
      </c>
      <c r="E156" s="42">
        <v>1</v>
      </c>
      <c r="F156" s="38" t="s">
        <v>6</v>
      </c>
      <c r="G156" s="41">
        <f t="shared" si="2"/>
        <v>0</v>
      </c>
    </row>
    <row r="157" spans="1:7" x14ac:dyDescent="0.35">
      <c r="A157" s="38">
        <v>300061973</v>
      </c>
      <c r="B157" s="39" t="s">
        <v>78</v>
      </c>
      <c r="C157" s="38">
        <v>400040043</v>
      </c>
      <c r="D157" s="39" t="s">
        <v>10</v>
      </c>
      <c r="E157" s="42">
        <v>1</v>
      </c>
      <c r="F157" s="38" t="s">
        <v>6</v>
      </c>
      <c r="G157" s="41">
        <f t="shared" si="2"/>
        <v>0</v>
      </c>
    </row>
    <row r="158" spans="1:7" x14ac:dyDescent="0.35">
      <c r="A158" s="38">
        <v>300061973</v>
      </c>
      <c r="B158" s="39" t="s">
        <v>78</v>
      </c>
      <c r="C158" s="38">
        <v>400030451</v>
      </c>
      <c r="D158" s="39" t="s">
        <v>17</v>
      </c>
      <c r="E158" s="42">
        <v>6</v>
      </c>
      <c r="F158" s="38" t="s">
        <v>6</v>
      </c>
      <c r="G158" s="41">
        <f t="shared" si="2"/>
        <v>0</v>
      </c>
    </row>
    <row r="159" spans="1:7" x14ac:dyDescent="0.35">
      <c r="A159" s="38">
        <v>300057010</v>
      </c>
      <c r="B159" s="39" t="s">
        <v>80</v>
      </c>
      <c r="C159" s="38">
        <v>300065338</v>
      </c>
      <c r="D159" s="39" t="s">
        <v>20</v>
      </c>
      <c r="E159" s="42">
        <v>36</v>
      </c>
      <c r="F159" s="38" t="s">
        <v>6</v>
      </c>
      <c r="G159" s="41">
        <f t="shared" si="2"/>
        <v>0</v>
      </c>
    </row>
    <row r="160" spans="1:7" x14ac:dyDescent="0.35">
      <c r="A160" s="38">
        <v>300057010</v>
      </c>
      <c r="B160" s="39" t="s">
        <v>80</v>
      </c>
      <c r="C160" s="38">
        <v>400052673</v>
      </c>
      <c r="D160" s="39" t="s">
        <v>57</v>
      </c>
      <c r="E160" s="42">
        <v>1</v>
      </c>
      <c r="F160" s="38" t="s">
        <v>6</v>
      </c>
      <c r="G160" s="41">
        <f t="shared" si="2"/>
        <v>0</v>
      </c>
    </row>
    <row r="161" spans="1:7" x14ac:dyDescent="0.35">
      <c r="A161" s="38">
        <v>300057010</v>
      </c>
      <c r="B161" s="39" t="s">
        <v>80</v>
      </c>
      <c r="C161" s="38">
        <v>400062724</v>
      </c>
      <c r="D161" s="39" t="s">
        <v>81</v>
      </c>
      <c r="E161" s="42">
        <v>6</v>
      </c>
      <c r="F161" s="38" t="s">
        <v>6</v>
      </c>
      <c r="G161" s="41">
        <f t="shared" si="2"/>
        <v>0</v>
      </c>
    </row>
    <row r="162" spans="1:7" x14ac:dyDescent="0.35">
      <c r="A162" s="38">
        <v>300057010</v>
      </c>
      <c r="B162" s="39" t="s">
        <v>80</v>
      </c>
      <c r="C162" s="38">
        <v>400040043</v>
      </c>
      <c r="D162" s="39" t="s">
        <v>10</v>
      </c>
      <c r="E162" s="42">
        <v>1</v>
      </c>
      <c r="F162" s="38" t="s">
        <v>6</v>
      </c>
      <c r="G162" s="41">
        <f t="shared" si="2"/>
        <v>0</v>
      </c>
    </row>
    <row r="163" spans="1:7" x14ac:dyDescent="0.35">
      <c r="A163" s="38">
        <v>300062680</v>
      </c>
      <c r="B163" s="39" t="s">
        <v>82</v>
      </c>
      <c r="C163" s="38">
        <v>300033914</v>
      </c>
      <c r="D163" s="39" t="s">
        <v>36</v>
      </c>
      <c r="E163" s="42">
        <v>7</v>
      </c>
      <c r="F163" s="38" t="s">
        <v>6</v>
      </c>
      <c r="G163" s="41">
        <f t="shared" si="2"/>
        <v>0</v>
      </c>
    </row>
    <row r="164" spans="1:7" x14ac:dyDescent="0.35">
      <c r="A164" s="38">
        <v>300062680</v>
      </c>
      <c r="B164" s="39" t="s">
        <v>82</v>
      </c>
      <c r="C164" s="38">
        <v>300063074</v>
      </c>
      <c r="D164" s="39" t="s">
        <v>37</v>
      </c>
      <c r="E164" s="42">
        <v>14</v>
      </c>
      <c r="F164" s="38" t="s">
        <v>6</v>
      </c>
      <c r="G164" s="41">
        <f t="shared" si="2"/>
        <v>0</v>
      </c>
    </row>
    <row r="165" spans="1:7" x14ac:dyDescent="0.35">
      <c r="A165" s="38">
        <v>300062680</v>
      </c>
      <c r="B165" s="39" t="s">
        <v>82</v>
      </c>
      <c r="C165" s="38">
        <v>300056037</v>
      </c>
      <c r="D165" s="39" t="s">
        <v>5</v>
      </c>
      <c r="E165" s="42">
        <v>7</v>
      </c>
      <c r="F165" s="38" t="s">
        <v>6</v>
      </c>
      <c r="G165" s="41">
        <f t="shared" si="2"/>
        <v>0</v>
      </c>
    </row>
    <row r="166" spans="1:7" x14ac:dyDescent="0.35">
      <c r="A166" s="38">
        <v>300062680</v>
      </c>
      <c r="B166" s="39" t="s">
        <v>82</v>
      </c>
      <c r="C166" s="38">
        <v>300056038</v>
      </c>
      <c r="D166" s="39" t="s">
        <v>7</v>
      </c>
      <c r="E166" s="42">
        <v>7</v>
      </c>
      <c r="F166" s="38" t="s">
        <v>6</v>
      </c>
      <c r="G166" s="41">
        <f t="shared" si="2"/>
        <v>0</v>
      </c>
    </row>
    <row r="167" spans="1:7" x14ac:dyDescent="0.35">
      <c r="A167" s="38">
        <v>300062680</v>
      </c>
      <c r="B167" s="39" t="s">
        <v>82</v>
      </c>
      <c r="C167" s="38">
        <v>300056056</v>
      </c>
      <c r="D167" s="39" t="s">
        <v>29</v>
      </c>
      <c r="E167" s="42">
        <v>14</v>
      </c>
      <c r="F167" s="38" t="s">
        <v>6</v>
      </c>
      <c r="G167" s="41">
        <f t="shared" si="2"/>
        <v>0</v>
      </c>
    </row>
    <row r="168" spans="1:7" x14ac:dyDescent="0.35">
      <c r="A168" s="38">
        <v>300062680</v>
      </c>
      <c r="B168" s="39" t="s">
        <v>82</v>
      </c>
      <c r="C168" s="38">
        <v>300057925</v>
      </c>
      <c r="D168" s="39" t="s">
        <v>38</v>
      </c>
      <c r="E168" s="42">
        <v>7</v>
      </c>
      <c r="F168" s="38" t="s">
        <v>6</v>
      </c>
      <c r="G168" s="41">
        <f t="shared" si="2"/>
        <v>0</v>
      </c>
    </row>
    <row r="169" spans="1:7" x14ac:dyDescent="0.35">
      <c r="A169" s="38">
        <v>300062680</v>
      </c>
      <c r="B169" s="39" t="s">
        <v>82</v>
      </c>
      <c r="C169" s="38">
        <v>300058885</v>
      </c>
      <c r="D169" s="39" t="s">
        <v>40</v>
      </c>
      <c r="E169" s="42">
        <v>7</v>
      </c>
      <c r="F169" s="38" t="s">
        <v>6</v>
      </c>
      <c r="G169" s="41">
        <f t="shared" si="2"/>
        <v>0</v>
      </c>
    </row>
    <row r="170" spans="1:7" x14ac:dyDescent="0.35">
      <c r="A170" s="38">
        <v>300062680</v>
      </c>
      <c r="B170" s="39" t="s">
        <v>82</v>
      </c>
      <c r="C170" s="38">
        <v>300062962</v>
      </c>
      <c r="D170" s="39" t="s">
        <v>46</v>
      </c>
      <c r="E170" s="42">
        <v>7</v>
      </c>
      <c r="F170" s="38" t="s">
        <v>6</v>
      </c>
      <c r="G170" s="41">
        <f t="shared" si="2"/>
        <v>0</v>
      </c>
    </row>
    <row r="171" spans="1:7" x14ac:dyDescent="0.35">
      <c r="A171" s="38">
        <v>300062680</v>
      </c>
      <c r="B171" s="39" t="s">
        <v>82</v>
      </c>
      <c r="C171" s="38">
        <v>400040043</v>
      </c>
      <c r="D171" s="39" t="s">
        <v>10</v>
      </c>
      <c r="E171" s="42">
        <v>1</v>
      </c>
      <c r="F171" s="38" t="s">
        <v>6</v>
      </c>
      <c r="G171" s="41">
        <f t="shared" si="2"/>
        <v>0</v>
      </c>
    </row>
    <row r="172" spans="1:7" x14ac:dyDescent="0.35">
      <c r="A172" s="38">
        <v>300062680</v>
      </c>
      <c r="B172" s="39" t="s">
        <v>82</v>
      </c>
      <c r="C172" s="38">
        <v>400043475</v>
      </c>
      <c r="D172" s="39" t="s">
        <v>51</v>
      </c>
      <c r="E172" s="42">
        <v>1</v>
      </c>
      <c r="F172" s="38" t="s">
        <v>6</v>
      </c>
      <c r="G172" s="41">
        <f t="shared" si="2"/>
        <v>0</v>
      </c>
    </row>
    <row r="173" spans="1:7" x14ac:dyDescent="0.35">
      <c r="A173" s="38">
        <v>300062680</v>
      </c>
      <c r="B173" s="39" t="s">
        <v>82</v>
      </c>
      <c r="C173" s="38">
        <v>400068555</v>
      </c>
      <c r="D173" s="39" t="s">
        <v>50</v>
      </c>
      <c r="E173" s="42">
        <v>7</v>
      </c>
      <c r="F173" s="38" t="s">
        <v>6</v>
      </c>
      <c r="G173" s="41">
        <f t="shared" si="2"/>
        <v>0</v>
      </c>
    </row>
    <row r="174" spans="1:7" x14ac:dyDescent="0.35">
      <c r="A174" s="38">
        <v>300061015</v>
      </c>
      <c r="B174" s="39" t="s">
        <v>83</v>
      </c>
      <c r="C174" s="38">
        <v>300062630</v>
      </c>
      <c r="D174" s="39" t="s">
        <v>84</v>
      </c>
      <c r="E174" s="42">
        <v>108</v>
      </c>
      <c r="F174" s="38" t="s">
        <v>6</v>
      </c>
      <c r="G174" s="41">
        <f t="shared" si="2"/>
        <v>0</v>
      </c>
    </row>
    <row r="175" spans="1:7" x14ac:dyDescent="0.35">
      <c r="A175" s="38">
        <v>300061015</v>
      </c>
      <c r="B175" s="39" t="s">
        <v>83</v>
      </c>
      <c r="C175" s="38">
        <v>400052672</v>
      </c>
      <c r="D175" s="39" t="s">
        <v>41</v>
      </c>
      <c r="E175" s="42">
        <v>1</v>
      </c>
      <c r="F175" s="38" t="s">
        <v>6</v>
      </c>
      <c r="G175" s="41">
        <f t="shared" si="2"/>
        <v>0</v>
      </c>
    </row>
    <row r="176" spans="1:7" x14ac:dyDescent="0.35">
      <c r="A176" s="38">
        <v>300061015</v>
      </c>
      <c r="B176" s="39" t="s">
        <v>83</v>
      </c>
      <c r="C176" s="38">
        <v>400031061</v>
      </c>
      <c r="D176" s="39" t="s">
        <v>85</v>
      </c>
      <c r="E176" s="42">
        <v>27</v>
      </c>
      <c r="F176" s="38" t="s">
        <v>6</v>
      </c>
      <c r="G176" s="41">
        <f t="shared" si="2"/>
        <v>0</v>
      </c>
    </row>
    <row r="177" spans="1:7" x14ac:dyDescent="0.35">
      <c r="A177" s="38">
        <v>300061015</v>
      </c>
      <c r="B177" s="39" t="s">
        <v>83</v>
      </c>
      <c r="C177" s="38">
        <v>400059682</v>
      </c>
      <c r="D177" s="39" t="s">
        <v>86</v>
      </c>
      <c r="E177" s="42">
        <v>9</v>
      </c>
      <c r="F177" s="38" t="s">
        <v>6</v>
      </c>
      <c r="G177" s="41">
        <f t="shared" si="2"/>
        <v>0</v>
      </c>
    </row>
    <row r="178" spans="1:7" x14ac:dyDescent="0.35">
      <c r="A178" s="38">
        <v>300061015</v>
      </c>
      <c r="B178" s="39" t="s">
        <v>83</v>
      </c>
      <c r="C178" s="38">
        <v>400040043</v>
      </c>
      <c r="D178" s="39" t="s">
        <v>10</v>
      </c>
      <c r="E178" s="42">
        <v>1</v>
      </c>
      <c r="F178" s="38" t="s">
        <v>6</v>
      </c>
      <c r="G178" s="41">
        <f t="shared" si="2"/>
        <v>0</v>
      </c>
    </row>
    <row r="179" spans="1:7" x14ac:dyDescent="0.35">
      <c r="A179" s="38">
        <v>300062897</v>
      </c>
      <c r="B179" s="39" t="s">
        <v>87</v>
      </c>
      <c r="C179" s="38">
        <v>300062962</v>
      </c>
      <c r="D179" s="39" t="s">
        <v>46</v>
      </c>
      <c r="E179" s="42">
        <v>28</v>
      </c>
      <c r="F179" s="38" t="s">
        <v>6</v>
      </c>
      <c r="G179" s="41">
        <f t="shared" si="2"/>
        <v>0</v>
      </c>
    </row>
    <row r="180" spans="1:7" x14ac:dyDescent="0.35">
      <c r="A180" s="38">
        <v>300062897</v>
      </c>
      <c r="B180" s="39" t="s">
        <v>87</v>
      </c>
      <c r="C180" s="38">
        <v>300063074</v>
      </c>
      <c r="D180" s="39" t="s">
        <v>37</v>
      </c>
      <c r="E180" s="42">
        <v>28</v>
      </c>
      <c r="F180" s="38" t="s">
        <v>6</v>
      </c>
      <c r="G180" s="41">
        <f t="shared" si="2"/>
        <v>0</v>
      </c>
    </row>
    <row r="181" spans="1:7" x14ac:dyDescent="0.35">
      <c r="A181" s="38">
        <v>300062897</v>
      </c>
      <c r="B181" s="39" t="s">
        <v>87</v>
      </c>
      <c r="C181" s="38">
        <v>300063350</v>
      </c>
      <c r="D181" s="39" t="s">
        <v>49</v>
      </c>
      <c r="E181" s="42">
        <v>28</v>
      </c>
      <c r="F181" s="38" t="s">
        <v>6</v>
      </c>
      <c r="G181" s="41">
        <f t="shared" si="2"/>
        <v>0</v>
      </c>
    </row>
    <row r="182" spans="1:7" x14ac:dyDescent="0.35">
      <c r="A182" s="38">
        <v>300062897</v>
      </c>
      <c r="B182" s="39" t="s">
        <v>87</v>
      </c>
      <c r="C182" s="38">
        <v>400043475</v>
      </c>
      <c r="D182" s="39" t="s">
        <v>51</v>
      </c>
      <c r="E182" s="42">
        <v>1</v>
      </c>
      <c r="F182" s="38" t="s">
        <v>6</v>
      </c>
      <c r="G182" s="41">
        <f t="shared" si="2"/>
        <v>0</v>
      </c>
    </row>
    <row r="183" spans="1:7" x14ac:dyDescent="0.35">
      <c r="A183" s="38">
        <v>300062897</v>
      </c>
      <c r="B183" s="39" t="s">
        <v>87</v>
      </c>
      <c r="C183" s="38">
        <v>400040043</v>
      </c>
      <c r="D183" s="39" t="s">
        <v>10</v>
      </c>
      <c r="E183" s="42">
        <v>1</v>
      </c>
      <c r="F183" s="38" t="s">
        <v>6</v>
      </c>
      <c r="G183" s="41">
        <f t="shared" si="2"/>
        <v>0</v>
      </c>
    </row>
    <row r="184" spans="1:7" x14ac:dyDescent="0.35">
      <c r="A184" s="38">
        <v>300062897</v>
      </c>
      <c r="B184" s="39" t="s">
        <v>87</v>
      </c>
      <c r="C184" s="38">
        <v>400068851</v>
      </c>
      <c r="D184" s="39" t="s">
        <v>88</v>
      </c>
      <c r="E184" s="42">
        <v>14</v>
      </c>
      <c r="F184" s="38" t="s">
        <v>6</v>
      </c>
      <c r="G184" s="41">
        <f t="shared" si="2"/>
        <v>0</v>
      </c>
    </row>
    <row r="185" spans="1:7" x14ac:dyDescent="0.35">
      <c r="A185" s="38">
        <v>300062894</v>
      </c>
      <c r="B185" s="39" t="s">
        <v>89</v>
      </c>
      <c r="C185" s="38">
        <v>300057264</v>
      </c>
      <c r="D185" s="39" t="s">
        <v>90</v>
      </c>
      <c r="E185" s="42">
        <v>19</v>
      </c>
      <c r="F185" s="38" t="s">
        <v>6</v>
      </c>
      <c r="G185" s="41">
        <f t="shared" si="2"/>
        <v>0</v>
      </c>
    </row>
    <row r="186" spans="1:7" x14ac:dyDescent="0.35">
      <c r="A186" s="38">
        <v>300062894</v>
      </c>
      <c r="B186" s="39" t="s">
        <v>89</v>
      </c>
      <c r="C186" s="38">
        <v>400061915</v>
      </c>
      <c r="D186" s="39" t="s">
        <v>91</v>
      </c>
      <c r="E186" s="42">
        <v>1</v>
      </c>
      <c r="F186" s="38" t="s">
        <v>6</v>
      </c>
      <c r="G186" s="41">
        <f t="shared" si="2"/>
        <v>0</v>
      </c>
    </row>
    <row r="187" spans="1:7" x14ac:dyDescent="0.35">
      <c r="A187" s="38">
        <v>300062894</v>
      </c>
      <c r="B187" s="39" t="s">
        <v>89</v>
      </c>
      <c r="C187" s="38">
        <v>400040043</v>
      </c>
      <c r="D187" s="39" t="s">
        <v>10</v>
      </c>
      <c r="E187" s="42">
        <v>1</v>
      </c>
      <c r="F187" s="38" t="s">
        <v>6</v>
      </c>
      <c r="G187" s="41">
        <f t="shared" si="2"/>
        <v>0</v>
      </c>
    </row>
    <row r="188" spans="1:7" x14ac:dyDescent="0.35">
      <c r="A188" s="38">
        <v>300063095</v>
      </c>
      <c r="B188" s="39" t="s">
        <v>92</v>
      </c>
      <c r="C188" s="38">
        <v>300056111</v>
      </c>
      <c r="D188" s="39" t="s">
        <v>93</v>
      </c>
      <c r="E188" s="42">
        <v>18</v>
      </c>
      <c r="F188" s="38" t="s">
        <v>6</v>
      </c>
      <c r="G188" s="41">
        <f t="shared" si="2"/>
        <v>0</v>
      </c>
    </row>
    <row r="189" spans="1:7" x14ac:dyDescent="0.35">
      <c r="A189" s="38">
        <v>300063095</v>
      </c>
      <c r="B189" s="39" t="s">
        <v>92</v>
      </c>
      <c r="C189" s="38">
        <v>400061915</v>
      </c>
      <c r="D189" s="39" t="s">
        <v>91</v>
      </c>
      <c r="E189" s="42">
        <v>1</v>
      </c>
      <c r="F189" s="38" t="s">
        <v>6</v>
      </c>
      <c r="G189" s="41">
        <f t="shared" si="2"/>
        <v>0</v>
      </c>
    </row>
    <row r="190" spans="1:7" x14ac:dyDescent="0.35">
      <c r="A190" s="38">
        <v>300063095</v>
      </c>
      <c r="B190" s="39" t="s">
        <v>92</v>
      </c>
      <c r="C190" s="38">
        <v>400040043</v>
      </c>
      <c r="D190" s="39" t="s">
        <v>10</v>
      </c>
      <c r="E190" s="42">
        <v>1</v>
      </c>
      <c r="F190" s="38" t="s">
        <v>6</v>
      </c>
      <c r="G190" s="41">
        <f t="shared" si="2"/>
        <v>0</v>
      </c>
    </row>
    <row r="191" spans="1:7" x14ac:dyDescent="0.35">
      <c r="A191" s="38">
        <v>300063092</v>
      </c>
      <c r="B191" s="39" t="s">
        <v>94</v>
      </c>
      <c r="C191" s="38">
        <v>300056113</v>
      </c>
      <c r="D191" s="39" t="s">
        <v>95</v>
      </c>
      <c r="E191" s="42">
        <v>18</v>
      </c>
      <c r="F191" s="38" t="s">
        <v>6</v>
      </c>
      <c r="G191" s="41">
        <f t="shared" si="2"/>
        <v>0</v>
      </c>
    </row>
    <row r="192" spans="1:7" x14ac:dyDescent="0.35">
      <c r="A192" s="38">
        <v>300063092</v>
      </c>
      <c r="B192" s="39" t="s">
        <v>94</v>
      </c>
      <c r="C192" s="38">
        <v>400061915</v>
      </c>
      <c r="D192" s="39" t="s">
        <v>91</v>
      </c>
      <c r="E192" s="42">
        <v>1</v>
      </c>
      <c r="F192" s="38" t="s">
        <v>6</v>
      </c>
      <c r="G192" s="41">
        <f t="shared" si="2"/>
        <v>0</v>
      </c>
    </row>
    <row r="193" spans="1:7" x14ac:dyDescent="0.35">
      <c r="A193" s="38">
        <v>300063092</v>
      </c>
      <c r="B193" s="39" t="s">
        <v>94</v>
      </c>
      <c r="C193" s="38">
        <v>400040043</v>
      </c>
      <c r="D193" s="39" t="s">
        <v>10</v>
      </c>
      <c r="E193" s="42">
        <v>1</v>
      </c>
      <c r="F193" s="38" t="s">
        <v>6</v>
      </c>
      <c r="G193" s="41">
        <f t="shared" si="2"/>
        <v>0</v>
      </c>
    </row>
    <row r="194" spans="1:7" x14ac:dyDescent="0.35">
      <c r="A194" s="38">
        <v>300063058</v>
      </c>
      <c r="B194" s="39" t="s">
        <v>96</v>
      </c>
      <c r="C194" s="38">
        <v>300062090</v>
      </c>
      <c r="D194" s="39" t="s">
        <v>97</v>
      </c>
      <c r="E194" s="42">
        <v>40</v>
      </c>
      <c r="F194" s="38" t="s">
        <v>6</v>
      </c>
      <c r="G194" s="41">
        <f t="shared" si="2"/>
        <v>0</v>
      </c>
    </row>
    <row r="195" spans="1:7" x14ac:dyDescent="0.35">
      <c r="A195" s="38">
        <v>300063058</v>
      </c>
      <c r="B195" s="39" t="s">
        <v>96</v>
      </c>
      <c r="C195" s="38">
        <v>300062009</v>
      </c>
      <c r="D195" s="39" t="s">
        <v>98</v>
      </c>
      <c r="E195" s="42">
        <v>80</v>
      </c>
      <c r="F195" s="38" t="s">
        <v>6</v>
      </c>
      <c r="G195" s="41">
        <f t="shared" si="2"/>
        <v>0</v>
      </c>
    </row>
    <row r="196" spans="1:7" x14ac:dyDescent="0.35">
      <c r="A196" s="38">
        <v>300063058</v>
      </c>
      <c r="B196" s="39" t="s">
        <v>96</v>
      </c>
      <c r="C196" s="38">
        <v>400062727</v>
      </c>
      <c r="D196" s="39" t="s">
        <v>99</v>
      </c>
      <c r="E196" s="42">
        <v>20</v>
      </c>
      <c r="F196" s="38" t="s">
        <v>6</v>
      </c>
      <c r="G196" s="41">
        <f t="shared" ref="G196:G259" si="3">+$G$3*E196</f>
        <v>0</v>
      </c>
    </row>
    <row r="197" spans="1:7" x14ac:dyDescent="0.35">
      <c r="A197" s="38">
        <v>300063058</v>
      </c>
      <c r="B197" s="39" t="s">
        <v>96</v>
      </c>
      <c r="C197" s="38">
        <v>400052372</v>
      </c>
      <c r="D197" s="39" t="s">
        <v>32</v>
      </c>
      <c r="E197" s="42">
        <v>1</v>
      </c>
      <c r="F197" s="38" t="s">
        <v>6</v>
      </c>
      <c r="G197" s="41">
        <f t="shared" si="3"/>
        <v>0</v>
      </c>
    </row>
    <row r="198" spans="1:7" x14ac:dyDescent="0.35">
      <c r="A198" s="38">
        <v>300063058</v>
      </c>
      <c r="B198" s="39" t="s">
        <v>96</v>
      </c>
      <c r="C198" s="38">
        <v>400040043</v>
      </c>
      <c r="D198" s="39" t="s">
        <v>10</v>
      </c>
      <c r="E198" s="42">
        <v>1</v>
      </c>
      <c r="F198" s="38" t="s">
        <v>6</v>
      </c>
      <c r="G198" s="41">
        <f t="shared" si="3"/>
        <v>0</v>
      </c>
    </row>
    <row r="199" spans="1:7" x14ac:dyDescent="0.35">
      <c r="A199" s="38">
        <v>300063057</v>
      </c>
      <c r="B199" s="39" t="s">
        <v>100</v>
      </c>
      <c r="C199" s="38">
        <v>300033914</v>
      </c>
      <c r="D199" s="39" t="s">
        <v>36</v>
      </c>
      <c r="E199" s="42">
        <v>88</v>
      </c>
      <c r="F199" s="38" t="s">
        <v>6</v>
      </c>
      <c r="G199" s="41">
        <f t="shared" si="3"/>
        <v>0</v>
      </c>
    </row>
    <row r="200" spans="1:7" x14ac:dyDescent="0.35">
      <c r="A200" s="38">
        <v>300063057</v>
      </c>
      <c r="B200" s="39" t="s">
        <v>100</v>
      </c>
      <c r="C200" s="38">
        <v>400052672</v>
      </c>
      <c r="D200" s="39" t="s">
        <v>41</v>
      </c>
      <c r="E200" s="42">
        <v>1</v>
      </c>
      <c r="F200" s="38" t="s">
        <v>6</v>
      </c>
      <c r="G200" s="41">
        <f t="shared" si="3"/>
        <v>0</v>
      </c>
    </row>
    <row r="201" spans="1:7" x14ac:dyDescent="0.35">
      <c r="A201" s="38">
        <v>300063057</v>
      </c>
      <c r="B201" s="39" t="s">
        <v>100</v>
      </c>
      <c r="C201" s="38">
        <v>400040043</v>
      </c>
      <c r="D201" s="39" t="s">
        <v>10</v>
      </c>
      <c r="E201" s="42">
        <v>1</v>
      </c>
      <c r="F201" s="38" t="s">
        <v>6</v>
      </c>
      <c r="G201" s="41">
        <f t="shared" si="3"/>
        <v>0</v>
      </c>
    </row>
    <row r="202" spans="1:7" x14ac:dyDescent="0.35">
      <c r="A202" s="38">
        <v>300063057</v>
      </c>
      <c r="B202" s="39" t="s">
        <v>100</v>
      </c>
      <c r="C202" s="38">
        <v>400066706</v>
      </c>
      <c r="D202" s="39" t="s">
        <v>101</v>
      </c>
      <c r="E202" s="42">
        <v>11</v>
      </c>
      <c r="F202" s="38" t="s">
        <v>6</v>
      </c>
      <c r="G202" s="41">
        <f t="shared" si="3"/>
        <v>0</v>
      </c>
    </row>
    <row r="203" spans="1:7" x14ac:dyDescent="0.35">
      <c r="A203" s="47">
        <v>300063180</v>
      </c>
      <c r="B203" s="48" t="s">
        <v>102</v>
      </c>
      <c r="C203" s="47">
        <v>300056037</v>
      </c>
      <c r="D203" s="48" t="s">
        <v>5</v>
      </c>
      <c r="E203" s="49">
        <v>20</v>
      </c>
      <c r="F203" s="47" t="s">
        <v>6</v>
      </c>
      <c r="G203" s="41">
        <f t="shared" si="3"/>
        <v>0</v>
      </c>
    </row>
    <row r="204" spans="1:7" x14ac:dyDescent="0.35">
      <c r="A204" s="47">
        <v>300063180</v>
      </c>
      <c r="B204" s="48" t="s">
        <v>102</v>
      </c>
      <c r="C204" s="47">
        <v>300056038</v>
      </c>
      <c r="D204" s="48" t="s">
        <v>7</v>
      </c>
      <c r="E204" s="49">
        <v>20</v>
      </c>
      <c r="F204" s="47" t="s">
        <v>6</v>
      </c>
      <c r="G204" s="41">
        <f t="shared" si="3"/>
        <v>0</v>
      </c>
    </row>
    <row r="205" spans="1:7" x14ac:dyDescent="0.35">
      <c r="A205" s="47">
        <v>300063180</v>
      </c>
      <c r="B205" s="48" t="s">
        <v>102</v>
      </c>
      <c r="C205" s="47">
        <v>300056039</v>
      </c>
      <c r="D205" s="48" t="s">
        <v>8</v>
      </c>
      <c r="E205" s="49">
        <v>20</v>
      </c>
      <c r="F205" s="47" t="s">
        <v>6</v>
      </c>
      <c r="G205" s="41">
        <f t="shared" si="3"/>
        <v>0</v>
      </c>
    </row>
    <row r="206" spans="1:7" x14ac:dyDescent="0.35">
      <c r="A206" s="47">
        <v>300063180</v>
      </c>
      <c r="B206" s="48" t="s">
        <v>102</v>
      </c>
      <c r="C206" s="47">
        <v>400043475</v>
      </c>
      <c r="D206" s="48" t="s">
        <v>51</v>
      </c>
      <c r="E206" s="49">
        <v>1</v>
      </c>
      <c r="F206" s="47" t="s">
        <v>6</v>
      </c>
      <c r="G206" s="41">
        <f t="shared" si="3"/>
        <v>0</v>
      </c>
    </row>
    <row r="207" spans="1:7" x14ac:dyDescent="0.35">
      <c r="A207" s="47">
        <v>300063180</v>
      </c>
      <c r="B207" s="48" t="s">
        <v>102</v>
      </c>
      <c r="C207" s="47">
        <v>400040043</v>
      </c>
      <c r="D207" s="48" t="s">
        <v>10</v>
      </c>
      <c r="E207" s="49">
        <v>1</v>
      </c>
      <c r="F207" s="47" t="s">
        <v>6</v>
      </c>
      <c r="G207" s="41">
        <f t="shared" si="3"/>
        <v>0</v>
      </c>
    </row>
    <row r="208" spans="1:7" x14ac:dyDescent="0.35">
      <c r="A208" s="47">
        <v>300063180</v>
      </c>
      <c r="B208" s="48" t="s">
        <v>102</v>
      </c>
      <c r="C208" s="47">
        <v>400063612</v>
      </c>
      <c r="D208" s="48" t="s">
        <v>103</v>
      </c>
      <c r="E208" s="49">
        <v>10</v>
      </c>
      <c r="F208" s="47" t="s">
        <v>6</v>
      </c>
      <c r="G208" s="41">
        <f t="shared" si="3"/>
        <v>0</v>
      </c>
    </row>
    <row r="209" spans="1:7" x14ac:dyDescent="0.35">
      <c r="A209" s="47">
        <v>300063261</v>
      </c>
      <c r="B209" s="48" t="s">
        <v>104</v>
      </c>
      <c r="C209" s="47">
        <v>300056037</v>
      </c>
      <c r="D209" s="48" t="s">
        <v>5</v>
      </c>
      <c r="E209" s="49">
        <v>18</v>
      </c>
      <c r="F209" s="47" t="s">
        <v>6</v>
      </c>
      <c r="G209" s="41">
        <f t="shared" si="3"/>
        <v>0</v>
      </c>
    </row>
    <row r="210" spans="1:7" x14ac:dyDescent="0.35">
      <c r="A210" s="47">
        <v>300063261</v>
      </c>
      <c r="B210" s="48" t="s">
        <v>104</v>
      </c>
      <c r="C210" s="47">
        <v>300056038</v>
      </c>
      <c r="D210" s="48" t="s">
        <v>7</v>
      </c>
      <c r="E210" s="49">
        <v>18</v>
      </c>
      <c r="F210" s="47" t="s">
        <v>6</v>
      </c>
      <c r="G210" s="41">
        <f t="shared" si="3"/>
        <v>0</v>
      </c>
    </row>
    <row r="211" spans="1:7" x14ac:dyDescent="0.35">
      <c r="A211" s="47">
        <v>300063261</v>
      </c>
      <c r="B211" s="48" t="s">
        <v>104</v>
      </c>
      <c r="C211" s="47">
        <v>300056039</v>
      </c>
      <c r="D211" s="48" t="s">
        <v>8</v>
      </c>
      <c r="E211" s="49">
        <v>18</v>
      </c>
      <c r="F211" s="47" t="s">
        <v>6</v>
      </c>
      <c r="G211" s="41">
        <f t="shared" si="3"/>
        <v>0</v>
      </c>
    </row>
    <row r="212" spans="1:7" x14ac:dyDescent="0.35">
      <c r="A212" s="47">
        <v>300063261</v>
      </c>
      <c r="B212" s="48" t="s">
        <v>104</v>
      </c>
      <c r="C212" s="47">
        <v>400052672</v>
      </c>
      <c r="D212" s="48" t="s">
        <v>41</v>
      </c>
      <c r="E212" s="49">
        <v>1</v>
      </c>
      <c r="F212" s="47" t="s">
        <v>6</v>
      </c>
      <c r="G212" s="41">
        <f t="shared" si="3"/>
        <v>0</v>
      </c>
    </row>
    <row r="213" spans="1:7" x14ac:dyDescent="0.35">
      <c r="A213" s="47">
        <v>300063261</v>
      </c>
      <c r="B213" s="48" t="s">
        <v>104</v>
      </c>
      <c r="C213" s="47">
        <v>400040043</v>
      </c>
      <c r="D213" s="48" t="s">
        <v>10</v>
      </c>
      <c r="E213" s="49">
        <v>1</v>
      </c>
      <c r="F213" s="47" t="s">
        <v>6</v>
      </c>
      <c r="G213" s="41">
        <f t="shared" si="3"/>
        <v>0</v>
      </c>
    </row>
    <row r="214" spans="1:7" x14ac:dyDescent="0.35">
      <c r="A214" s="47">
        <v>300063261</v>
      </c>
      <c r="B214" s="48" t="s">
        <v>104</v>
      </c>
      <c r="C214" s="47">
        <v>400063611</v>
      </c>
      <c r="D214" s="48" t="s">
        <v>105</v>
      </c>
      <c r="E214" s="49">
        <v>6</v>
      </c>
      <c r="F214" s="47" t="s">
        <v>6</v>
      </c>
      <c r="G214" s="41">
        <f t="shared" si="3"/>
        <v>0</v>
      </c>
    </row>
    <row r="215" spans="1:7" x14ac:dyDescent="0.35">
      <c r="A215" s="47">
        <v>300063387</v>
      </c>
      <c r="B215" s="48" t="s">
        <v>106</v>
      </c>
      <c r="C215" s="47">
        <v>300063261</v>
      </c>
      <c r="D215" s="48" t="s">
        <v>107</v>
      </c>
      <c r="E215" s="49">
        <v>6</v>
      </c>
      <c r="F215" s="47" t="s">
        <v>6</v>
      </c>
      <c r="G215" s="41">
        <f t="shared" si="3"/>
        <v>0</v>
      </c>
    </row>
    <row r="216" spans="1:7" x14ac:dyDescent="0.35">
      <c r="A216" s="47">
        <v>300063387</v>
      </c>
      <c r="B216" s="48" t="s">
        <v>106</v>
      </c>
      <c r="C216" s="47">
        <v>400043475</v>
      </c>
      <c r="D216" s="48" t="s">
        <v>51</v>
      </c>
      <c r="E216" s="49">
        <v>1</v>
      </c>
      <c r="F216" s="47" t="s">
        <v>6</v>
      </c>
      <c r="G216" s="41">
        <f t="shared" si="3"/>
        <v>0</v>
      </c>
    </row>
    <row r="217" spans="1:7" x14ac:dyDescent="0.35">
      <c r="A217" s="47">
        <v>300063387</v>
      </c>
      <c r="B217" s="48" t="s">
        <v>106</v>
      </c>
      <c r="C217" s="47">
        <v>400040043</v>
      </c>
      <c r="D217" s="48" t="s">
        <v>10</v>
      </c>
      <c r="E217" s="49">
        <v>1</v>
      </c>
      <c r="F217" s="47" t="s">
        <v>6</v>
      </c>
      <c r="G217" s="41">
        <f t="shared" si="3"/>
        <v>0</v>
      </c>
    </row>
    <row r="218" spans="1:7" x14ac:dyDescent="0.35">
      <c r="A218" s="47">
        <v>300063571</v>
      </c>
      <c r="B218" s="48" t="s">
        <v>108</v>
      </c>
      <c r="C218" s="47">
        <v>300063004</v>
      </c>
      <c r="D218" s="48" t="s">
        <v>109</v>
      </c>
      <c r="E218" s="49">
        <v>8</v>
      </c>
      <c r="F218" s="47" t="s">
        <v>6</v>
      </c>
      <c r="G218" s="41">
        <f t="shared" si="3"/>
        <v>0</v>
      </c>
    </row>
    <row r="219" spans="1:7" x14ac:dyDescent="0.35">
      <c r="A219" s="47">
        <v>300063571</v>
      </c>
      <c r="B219" s="48" t="s">
        <v>108</v>
      </c>
      <c r="C219" s="47">
        <v>300056070</v>
      </c>
      <c r="D219" s="48" t="s">
        <v>110</v>
      </c>
      <c r="E219" s="49">
        <v>8</v>
      </c>
      <c r="F219" s="47" t="s">
        <v>6</v>
      </c>
      <c r="G219" s="41">
        <f t="shared" si="3"/>
        <v>0</v>
      </c>
    </row>
    <row r="220" spans="1:7" x14ac:dyDescent="0.35">
      <c r="A220" s="47">
        <v>300063571</v>
      </c>
      <c r="B220" s="48" t="s">
        <v>108</v>
      </c>
      <c r="C220" s="47">
        <v>400052372</v>
      </c>
      <c r="D220" s="48" t="s">
        <v>32</v>
      </c>
      <c r="E220" s="49">
        <v>1</v>
      </c>
      <c r="F220" s="47" t="s">
        <v>6</v>
      </c>
      <c r="G220" s="41">
        <f t="shared" si="3"/>
        <v>0</v>
      </c>
    </row>
    <row r="221" spans="1:7" x14ac:dyDescent="0.35">
      <c r="A221" s="47">
        <v>300063571</v>
      </c>
      <c r="B221" s="48" t="s">
        <v>108</v>
      </c>
      <c r="C221" s="47">
        <v>400040043</v>
      </c>
      <c r="D221" s="48" t="s">
        <v>10</v>
      </c>
      <c r="E221" s="49">
        <v>1</v>
      </c>
      <c r="F221" s="47" t="s">
        <v>6</v>
      </c>
      <c r="G221" s="41">
        <f t="shared" si="3"/>
        <v>0</v>
      </c>
    </row>
    <row r="222" spans="1:7" x14ac:dyDescent="0.35">
      <c r="A222" s="47">
        <v>300063571</v>
      </c>
      <c r="B222" s="48" t="s">
        <v>108</v>
      </c>
      <c r="C222" s="47">
        <v>400030451</v>
      </c>
      <c r="D222" s="48" t="s">
        <v>17</v>
      </c>
      <c r="E222" s="49">
        <v>8</v>
      </c>
      <c r="F222" s="47" t="s">
        <v>6</v>
      </c>
      <c r="G222" s="41">
        <f t="shared" si="3"/>
        <v>0</v>
      </c>
    </row>
    <row r="223" spans="1:7" x14ac:dyDescent="0.35">
      <c r="A223" s="47">
        <v>300056022</v>
      </c>
      <c r="B223" s="48" t="s">
        <v>19</v>
      </c>
      <c r="C223" s="38">
        <v>300065338</v>
      </c>
      <c r="D223" s="39" t="s">
        <v>20</v>
      </c>
      <c r="E223" s="49">
        <v>72</v>
      </c>
      <c r="F223" s="47" t="s">
        <v>6</v>
      </c>
      <c r="G223" s="41">
        <f t="shared" si="3"/>
        <v>0</v>
      </c>
    </row>
    <row r="224" spans="1:7" x14ac:dyDescent="0.35">
      <c r="A224" s="47">
        <v>300056022</v>
      </c>
      <c r="B224" s="48" t="s">
        <v>19</v>
      </c>
      <c r="C224" s="47">
        <v>400062725</v>
      </c>
      <c r="D224" s="48" t="s">
        <v>111</v>
      </c>
      <c r="E224" s="49">
        <v>6</v>
      </c>
      <c r="F224" s="47" t="s">
        <v>6</v>
      </c>
      <c r="G224" s="41">
        <f t="shared" si="3"/>
        <v>0</v>
      </c>
    </row>
    <row r="225" spans="1:7" x14ac:dyDescent="0.35">
      <c r="A225" s="47">
        <v>300056022</v>
      </c>
      <c r="B225" s="48" t="s">
        <v>19</v>
      </c>
      <c r="C225" s="47">
        <v>400040043</v>
      </c>
      <c r="D225" s="48" t="s">
        <v>10</v>
      </c>
      <c r="E225" s="49">
        <v>1</v>
      </c>
      <c r="F225" s="47" t="s">
        <v>6</v>
      </c>
      <c r="G225" s="41">
        <f t="shared" si="3"/>
        <v>0</v>
      </c>
    </row>
    <row r="226" spans="1:7" x14ac:dyDescent="0.35">
      <c r="A226" s="47">
        <v>300056022</v>
      </c>
      <c r="B226" s="48" t="s">
        <v>19</v>
      </c>
      <c r="C226" s="47">
        <v>400052671</v>
      </c>
      <c r="D226" s="48" t="s">
        <v>56</v>
      </c>
      <c r="E226" s="49">
        <v>1</v>
      </c>
      <c r="F226" s="47" t="s">
        <v>6</v>
      </c>
      <c r="G226" s="41">
        <f t="shared" si="3"/>
        <v>0</v>
      </c>
    </row>
    <row r="227" spans="1:7" x14ac:dyDescent="0.35">
      <c r="A227" s="47">
        <v>300064165</v>
      </c>
      <c r="B227" s="48" t="s">
        <v>112</v>
      </c>
      <c r="C227" s="47">
        <v>300056054</v>
      </c>
      <c r="D227" s="48" t="s">
        <v>69</v>
      </c>
      <c r="E227" s="49">
        <v>60</v>
      </c>
      <c r="F227" s="47" t="s">
        <v>6</v>
      </c>
      <c r="G227" s="41">
        <f t="shared" si="3"/>
        <v>0</v>
      </c>
    </row>
    <row r="228" spans="1:7" x14ac:dyDescent="0.35">
      <c r="A228" s="47">
        <v>300064165</v>
      </c>
      <c r="B228" s="48" t="s">
        <v>112</v>
      </c>
      <c r="C228" s="47">
        <v>300057168</v>
      </c>
      <c r="D228" s="48" t="s">
        <v>74</v>
      </c>
      <c r="E228" s="49">
        <v>10</v>
      </c>
      <c r="F228" s="47" t="s">
        <v>6</v>
      </c>
      <c r="G228" s="41">
        <f t="shared" si="3"/>
        <v>0</v>
      </c>
    </row>
    <row r="229" spans="1:7" x14ac:dyDescent="0.35">
      <c r="A229" s="47">
        <v>300064165</v>
      </c>
      <c r="B229" s="48" t="s">
        <v>112</v>
      </c>
      <c r="C229" s="47">
        <v>400040043</v>
      </c>
      <c r="D229" s="48" t="s">
        <v>10</v>
      </c>
      <c r="E229" s="49">
        <v>1</v>
      </c>
      <c r="F229" s="47" t="s">
        <v>6</v>
      </c>
      <c r="G229" s="41">
        <f t="shared" si="3"/>
        <v>0</v>
      </c>
    </row>
    <row r="230" spans="1:7" x14ac:dyDescent="0.35">
      <c r="A230" s="47">
        <v>300064165</v>
      </c>
      <c r="B230" s="48" t="s">
        <v>112</v>
      </c>
      <c r="C230" s="47">
        <v>400052372</v>
      </c>
      <c r="D230" s="48" t="s">
        <v>32</v>
      </c>
      <c r="E230" s="49">
        <v>1</v>
      </c>
      <c r="F230" s="47" t="s">
        <v>6</v>
      </c>
      <c r="G230" s="41">
        <f t="shared" si="3"/>
        <v>0</v>
      </c>
    </row>
    <row r="231" spans="1:7" x14ac:dyDescent="0.35">
      <c r="A231" s="47">
        <v>300064165</v>
      </c>
      <c r="B231" s="48" t="s">
        <v>112</v>
      </c>
      <c r="C231" s="47">
        <v>400030451</v>
      </c>
      <c r="D231" s="48" t="s">
        <v>17</v>
      </c>
      <c r="E231" s="49">
        <v>5</v>
      </c>
      <c r="F231" s="47" t="s">
        <v>15</v>
      </c>
      <c r="G231" s="41">
        <f t="shared" si="3"/>
        <v>0</v>
      </c>
    </row>
    <row r="232" spans="1:7" x14ac:dyDescent="0.35">
      <c r="A232" s="47">
        <v>300064165</v>
      </c>
      <c r="B232" s="48" t="s">
        <v>112</v>
      </c>
      <c r="C232" s="47">
        <v>4000</v>
      </c>
      <c r="D232" s="48" t="s">
        <v>61</v>
      </c>
      <c r="E232" s="49">
        <v>5</v>
      </c>
      <c r="F232" s="47" t="s">
        <v>6</v>
      </c>
      <c r="G232" s="41">
        <f t="shared" si="3"/>
        <v>0</v>
      </c>
    </row>
    <row r="233" spans="1:7" x14ac:dyDescent="0.35">
      <c r="A233" s="47">
        <v>300064166</v>
      </c>
      <c r="B233" s="48" t="s">
        <v>113</v>
      </c>
      <c r="C233" s="47">
        <v>300055849</v>
      </c>
      <c r="D233" s="48" t="s">
        <v>67</v>
      </c>
      <c r="E233" s="49">
        <v>72</v>
      </c>
      <c r="F233" s="47" t="s">
        <v>6</v>
      </c>
      <c r="G233" s="41">
        <f>+$G$3*E233</f>
        <v>0</v>
      </c>
    </row>
    <row r="234" spans="1:7" x14ac:dyDescent="0.35">
      <c r="A234" s="47">
        <v>300064166</v>
      </c>
      <c r="B234" s="48" t="s">
        <v>113</v>
      </c>
      <c r="C234" s="47">
        <v>300057168</v>
      </c>
      <c r="D234" s="48" t="s">
        <v>74</v>
      </c>
      <c r="E234" s="49">
        <v>12</v>
      </c>
      <c r="F234" s="47" t="s">
        <v>6</v>
      </c>
      <c r="G234" s="41">
        <f t="shared" si="3"/>
        <v>0</v>
      </c>
    </row>
    <row r="235" spans="1:7" x14ac:dyDescent="0.35">
      <c r="A235" s="47">
        <v>300064166</v>
      </c>
      <c r="B235" s="48" t="s">
        <v>113</v>
      </c>
      <c r="C235" s="47">
        <v>400040043</v>
      </c>
      <c r="D235" s="48" t="s">
        <v>10</v>
      </c>
      <c r="E235" s="49">
        <v>1</v>
      </c>
      <c r="F235" s="47" t="s">
        <v>6</v>
      </c>
      <c r="G235" s="41">
        <f t="shared" si="3"/>
        <v>0</v>
      </c>
    </row>
    <row r="236" spans="1:7" x14ac:dyDescent="0.35">
      <c r="A236" s="47">
        <v>300064166</v>
      </c>
      <c r="B236" s="48" t="s">
        <v>113</v>
      </c>
      <c r="C236" s="47">
        <v>400052672</v>
      </c>
      <c r="D236" s="48" t="s">
        <v>41</v>
      </c>
      <c r="E236" s="49">
        <v>1</v>
      </c>
      <c r="F236" s="47" t="s">
        <v>6</v>
      </c>
      <c r="G236" s="41">
        <f t="shared" si="3"/>
        <v>0</v>
      </c>
    </row>
    <row r="237" spans="1:7" x14ac:dyDescent="0.35">
      <c r="A237" s="47">
        <v>300064166</v>
      </c>
      <c r="B237" s="48" t="s">
        <v>113</v>
      </c>
      <c r="C237" s="47">
        <v>400030451</v>
      </c>
      <c r="D237" s="48" t="s">
        <v>17</v>
      </c>
      <c r="E237" s="49">
        <v>6</v>
      </c>
      <c r="F237" s="47" t="s">
        <v>6</v>
      </c>
      <c r="G237" s="41">
        <f t="shared" si="3"/>
        <v>0</v>
      </c>
    </row>
    <row r="238" spans="1:7" x14ac:dyDescent="0.35">
      <c r="A238" s="47">
        <v>300064084</v>
      </c>
      <c r="B238" s="48" t="s">
        <v>114</v>
      </c>
      <c r="C238" s="47">
        <v>300056037</v>
      </c>
      <c r="D238" s="48" t="s">
        <v>5</v>
      </c>
      <c r="E238" s="49">
        <v>18</v>
      </c>
      <c r="F238" s="47" t="s">
        <v>6</v>
      </c>
      <c r="G238" s="41">
        <f t="shared" si="3"/>
        <v>0</v>
      </c>
    </row>
    <row r="239" spans="1:7" x14ac:dyDescent="0.35">
      <c r="A239" s="47">
        <v>300064084</v>
      </c>
      <c r="B239" s="48" t="s">
        <v>114</v>
      </c>
      <c r="C239" s="47">
        <v>300056038</v>
      </c>
      <c r="D239" s="48" t="s">
        <v>7</v>
      </c>
      <c r="E239" s="49">
        <v>18</v>
      </c>
      <c r="F239" s="47" t="s">
        <v>6</v>
      </c>
      <c r="G239" s="41">
        <f t="shared" si="3"/>
        <v>0</v>
      </c>
    </row>
    <row r="240" spans="1:7" x14ac:dyDescent="0.35">
      <c r="A240" s="47">
        <v>300064084</v>
      </c>
      <c r="B240" s="48" t="s">
        <v>114</v>
      </c>
      <c r="C240" s="47">
        <v>300056039</v>
      </c>
      <c r="D240" s="48" t="s">
        <v>8</v>
      </c>
      <c r="E240" s="49">
        <v>18</v>
      </c>
      <c r="F240" s="47" t="s">
        <v>6</v>
      </c>
      <c r="G240" s="41">
        <f t="shared" si="3"/>
        <v>0</v>
      </c>
    </row>
    <row r="241" spans="1:7" x14ac:dyDescent="0.35">
      <c r="A241" s="47">
        <v>300064084</v>
      </c>
      <c r="B241" s="48" t="s">
        <v>114</v>
      </c>
      <c r="C241" s="47">
        <v>400052672</v>
      </c>
      <c r="D241" s="48" t="s">
        <v>41</v>
      </c>
      <c r="E241" s="49">
        <v>1</v>
      </c>
      <c r="F241" s="47" t="s">
        <v>6</v>
      </c>
      <c r="G241" s="41">
        <f t="shared" si="3"/>
        <v>0</v>
      </c>
    </row>
    <row r="242" spans="1:7" x14ac:dyDescent="0.35">
      <c r="A242" s="47">
        <v>300064084</v>
      </c>
      <c r="B242" s="48" t="s">
        <v>114</v>
      </c>
      <c r="C242" s="47">
        <v>400040043</v>
      </c>
      <c r="D242" s="48" t="s">
        <v>10</v>
      </c>
      <c r="E242" s="49">
        <v>1</v>
      </c>
      <c r="F242" s="47" t="s">
        <v>6</v>
      </c>
      <c r="G242" s="41">
        <f t="shared" si="3"/>
        <v>0</v>
      </c>
    </row>
    <row r="243" spans="1:7" x14ac:dyDescent="0.35">
      <c r="A243" s="47">
        <v>300064084</v>
      </c>
      <c r="B243" s="48" t="s">
        <v>114</v>
      </c>
      <c r="C243" s="47">
        <v>400063611</v>
      </c>
      <c r="D243" s="48" t="s">
        <v>105</v>
      </c>
      <c r="E243" s="49">
        <v>6</v>
      </c>
      <c r="F243" s="47" t="s">
        <v>6</v>
      </c>
      <c r="G243" s="41">
        <f t="shared" si="3"/>
        <v>0</v>
      </c>
    </row>
    <row r="244" spans="1:7" x14ac:dyDescent="0.35">
      <c r="A244" s="38">
        <v>300048034</v>
      </c>
      <c r="B244" s="39" t="s">
        <v>115</v>
      </c>
      <c r="C244" s="38">
        <v>300056113</v>
      </c>
      <c r="D244" s="39" t="s">
        <v>95</v>
      </c>
      <c r="E244" s="42">
        <v>15</v>
      </c>
      <c r="F244" s="38" t="s">
        <v>6</v>
      </c>
      <c r="G244" s="41">
        <f t="shared" si="3"/>
        <v>0</v>
      </c>
    </row>
    <row r="245" spans="1:7" x14ac:dyDescent="0.35">
      <c r="A245" s="38">
        <v>300048034</v>
      </c>
      <c r="B245" s="39" t="s">
        <v>115</v>
      </c>
      <c r="C245" s="38">
        <v>400063172</v>
      </c>
      <c r="D245" s="39" t="s">
        <v>116</v>
      </c>
      <c r="E245" s="42">
        <v>1</v>
      </c>
      <c r="F245" s="38" t="s">
        <v>6</v>
      </c>
      <c r="G245" s="41">
        <f t="shared" si="3"/>
        <v>0</v>
      </c>
    </row>
    <row r="246" spans="1:7" x14ac:dyDescent="0.35">
      <c r="A246" s="38">
        <v>300048034</v>
      </c>
      <c r="B246" s="39" t="s">
        <v>115</v>
      </c>
      <c r="C246" s="38">
        <v>400040043</v>
      </c>
      <c r="D246" s="39" t="s">
        <v>10</v>
      </c>
      <c r="E246" s="42">
        <v>1</v>
      </c>
      <c r="F246" s="38" t="s">
        <v>6</v>
      </c>
      <c r="G246" s="41">
        <f t="shared" si="3"/>
        <v>0</v>
      </c>
    </row>
    <row r="247" spans="1:7" x14ac:dyDescent="0.35">
      <c r="A247" s="47">
        <v>300048142</v>
      </c>
      <c r="B247" s="48" t="s">
        <v>117</v>
      </c>
      <c r="C247" s="47">
        <v>300056111</v>
      </c>
      <c r="D247" s="48" t="s">
        <v>93</v>
      </c>
      <c r="E247" s="49">
        <v>15</v>
      </c>
      <c r="F247" s="47" t="s">
        <v>6</v>
      </c>
      <c r="G247" s="41">
        <f t="shared" si="3"/>
        <v>0</v>
      </c>
    </row>
    <row r="248" spans="1:7" x14ac:dyDescent="0.35">
      <c r="A248" s="47">
        <v>300048142</v>
      </c>
      <c r="B248" s="48" t="s">
        <v>117</v>
      </c>
      <c r="C248" s="47">
        <v>400063172</v>
      </c>
      <c r="D248" s="48" t="s">
        <v>116</v>
      </c>
      <c r="E248" s="49">
        <v>1</v>
      </c>
      <c r="F248" s="47" t="s">
        <v>6</v>
      </c>
      <c r="G248" s="41">
        <f t="shared" si="3"/>
        <v>0</v>
      </c>
    </row>
    <row r="249" spans="1:7" x14ac:dyDescent="0.35">
      <c r="A249" s="47">
        <v>300048142</v>
      </c>
      <c r="B249" s="48" t="s">
        <v>117</v>
      </c>
      <c r="C249" s="47">
        <v>400040043</v>
      </c>
      <c r="D249" s="48" t="s">
        <v>10</v>
      </c>
      <c r="E249" s="49">
        <v>1</v>
      </c>
      <c r="F249" s="47" t="s">
        <v>6</v>
      </c>
      <c r="G249" s="41">
        <f t="shared" si="3"/>
        <v>0</v>
      </c>
    </row>
    <row r="250" spans="1:7" x14ac:dyDescent="0.35">
      <c r="A250" s="38">
        <v>300064252</v>
      </c>
      <c r="B250" s="39" t="s">
        <v>118</v>
      </c>
      <c r="C250" s="38">
        <v>300057264</v>
      </c>
      <c r="D250" s="39" t="s">
        <v>119</v>
      </c>
      <c r="E250" s="42">
        <v>15</v>
      </c>
      <c r="F250" s="38" t="s">
        <v>6</v>
      </c>
      <c r="G250" s="41">
        <f>+$G$3*E250</f>
        <v>0</v>
      </c>
    </row>
    <row r="251" spans="1:7" x14ac:dyDescent="0.35">
      <c r="A251" s="38">
        <v>300064252</v>
      </c>
      <c r="B251" s="39" t="s">
        <v>118</v>
      </c>
      <c r="C251" s="38">
        <v>400063172</v>
      </c>
      <c r="D251" s="39" t="s">
        <v>116</v>
      </c>
      <c r="E251" s="42">
        <v>1</v>
      </c>
      <c r="F251" s="38" t="s">
        <v>6</v>
      </c>
      <c r="G251" s="41">
        <f t="shared" si="3"/>
        <v>0</v>
      </c>
    </row>
    <row r="252" spans="1:7" x14ac:dyDescent="0.35">
      <c r="A252" s="38">
        <v>300064252</v>
      </c>
      <c r="B252" s="39" t="s">
        <v>118</v>
      </c>
      <c r="C252" s="38">
        <v>400040043</v>
      </c>
      <c r="D252" s="39" t="s">
        <v>10</v>
      </c>
      <c r="E252" s="42">
        <v>1</v>
      </c>
      <c r="F252" s="38" t="s">
        <v>6</v>
      </c>
      <c r="G252" s="41">
        <f t="shared" si="3"/>
        <v>0</v>
      </c>
    </row>
    <row r="253" spans="1:7" x14ac:dyDescent="0.35">
      <c r="A253" s="47">
        <v>300064891</v>
      </c>
      <c r="B253" s="48" t="s">
        <v>120</v>
      </c>
      <c r="C253" s="47">
        <v>400052372</v>
      </c>
      <c r="D253" s="48" t="s">
        <v>121</v>
      </c>
      <c r="E253" s="49">
        <v>1</v>
      </c>
      <c r="F253" s="47" t="s">
        <v>6</v>
      </c>
      <c r="G253" s="41">
        <f t="shared" si="3"/>
        <v>0</v>
      </c>
    </row>
    <row r="254" spans="1:7" x14ac:dyDescent="0.35">
      <c r="A254" s="47">
        <v>300064891</v>
      </c>
      <c r="B254" s="48" t="s">
        <v>120</v>
      </c>
      <c r="C254" s="47">
        <v>300058885</v>
      </c>
      <c r="D254" s="48" t="s">
        <v>40</v>
      </c>
      <c r="E254" s="49">
        <v>20</v>
      </c>
      <c r="F254" s="47" t="s">
        <v>6</v>
      </c>
      <c r="G254" s="41">
        <f t="shared" si="3"/>
        <v>0</v>
      </c>
    </row>
    <row r="255" spans="1:7" x14ac:dyDescent="0.35">
      <c r="A255" s="47">
        <v>300064891</v>
      </c>
      <c r="B255" s="48" t="s">
        <v>120</v>
      </c>
      <c r="C255" s="47">
        <v>300056040</v>
      </c>
      <c r="D255" s="48" t="s">
        <v>60</v>
      </c>
      <c r="E255" s="49">
        <v>50</v>
      </c>
      <c r="F255" s="47" t="s">
        <v>6</v>
      </c>
      <c r="G255" s="41">
        <f>+$G$3*E255</f>
        <v>0</v>
      </c>
    </row>
    <row r="256" spans="1:7" x14ac:dyDescent="0.35">
      <c r="A256" s="47">
        <v>300064891</v>
      </c>
      <c r="B256" s="48" t="s">
        <v>120</v>
      </c>
      <c r="C256" s="47">
        <v>400040043</v>
      </c>
      <c r="D256" s="48" t="s">
        <v>10</v>
      </c>
      <c r="E256" s="49">
        <v>1</v>
      </c>
      <c r="F256" s="47" t="s">
        <v>6</v>
      </c>
      <c r="G256" s="41">
        <f t="shared" si="3"/>
        <v>0</v>
      </c>
    </row>
    <row r="257" spans="1:7" x14ac:dyDescent="0.35">
      <c r="A257" s="47">
        <v>300064891</v>
      </c>
      <c r="B257" s="48" t="s">
        <v>120</v>
      </c>
      <c r="C257" s="47">
        <v>400030451</v>
      </c>
      <c r="D257" s="48" t="s">
        <v>122</v>
      </c>
      <c r="E257" s="49">
        <v>5</v>
      </c>
      <c r="F257" s="47" t="s">
        <v>6</v>
      </c>
      <c r="G257" s="41">
        <f t="shared" si="3"/>
        <v>0</v>
      </c>
    </row>
    <row r="258" spans="1:7" x14ac:dyDescent="0.35">
      <c r="A258" s="47">
        <v>300065231</v>
      </c>
      <c r="B258" s="48" t="s">
        <v>123</v>
      </c>
      <c r="C258" s="47">
        <v>400065238</v>
      </c>
      <c r="D258" s="48" t="s">
        <v>124</v>
      </c>
      <c r="E258" s="49">
        <v>1</v>
      </c>
      <c r="F258" s="47" t="s">
        <v>6</v>
      </c>
      <c r="G258" s="41">
        <f t="shared" si="3"/>
        <v>0</v>
      </c>
    </row>
    <row r="259" spans="1:7" x14ac:dyDescent="0.35">
      <c r="A259" s="47">
        <v>300065231</v>
      </c>
      <c r="B259" s="48" t="s">
        <v>123</v>
      </c>
      <c r="C259" s="47">
        <v>300065060</v>
      </c>
      <c r="D259" s="48" t="s">
        <v>125</v>
      </c>
      <c r="E259" s="49">
        <v>18</v>
      </c>
      <c r="F259" s="47" t="s">
        <v>6</v>
      </c>
      <c r="G259" s="41">
        <f t="shared" si="3"/>
        <v>0</v>
      </c>
    </row>
    <row r="260" spans="1:7" x14ac:dyDescent="0.35">
      <c r="A260" s="47">
        <v>300065231</v>
      </c>
      <c r="B260" s="48" t="s">
        <v>123</v>
      </c>
      <c r="C260" s="47">
        <v>400040043</v>
      </c>
      <c r="D260" s="48" t="s">
        <v>10</v>
      </c>
      <c r="E260" s="49">
        <v>1</v>
      </c>
      <c r="F260" s="47" t="s">
        <v>6</v>
      </c>
      <c r="G260" s="41">
        <f t="shared" ref="G260:G289" si="4">+$G$3*E260</f>
        <v>0</v>
      </c>
    </row>
    <row r="261" spans="1:7" x14ac:dyDescent="0.35">
      <c r="A261" s="47">
        <v>300065230</v>
      </c>
      <c r="B261" s="48" t="s">
        <v>126</v>
      </c>
      <c r="C261" s="47">
        <v>400065238</v>
      </c>
      <c r="D261" s="48" t="s">
        <v>124</v>
      </c>
      <c r="E261" s="49">
        <v>1</v>
      </c>
      <c r="F261" s="47" t="s">
        <v>6</v>
      </c>
      <c r="G261" s="41">
        <f t="shared" si="4"/>
        <v>0</v>
      </c>
    </row>
    <row r="262" spans="1:7" x14ac:dyDescent="0.35">
      <c r="A262" s="47">
        <v>300065230</v>
      </c>
      <c r="B262" s="48" t="s">
        <v>126</v>
      </c>
      <c r="C262" s="47">
        <v>300065061</v>
      </c>
      <c r="D262" s="48" t="s">
        <v>127</v>
      </c>
      <c r="E262" s="49">
        <v>18</v>
      </c>
      <c r="F262" s="47" t="s">
        <v>6</v>
      </c>
      <c r="G262" s="41">
        <f t="shared" si="4"/>
        <v>0</v>
      </c>
    </row>
    <row r="263" spans="1:7" x14ac:dyDescent="0.35">
      <c r="A263" s="47">
        <v>300065230</v>
      </c>
      <c r="B263" s="48" t="s">
        <v>126</v>
      </c>
      <c r="C263" s="47">
        <v>400040043</v>
      </c>
      <c r="D263" s="48" t="s">
        <v>10</v>
      </c>
      <c r="E263" s="49">
        <v>1</v>
      </c>
      <c r="F263" s="47" t="s">
        <v>6</v>
      </c>
      <c r="G263" s="41">
        <f t="shared" si="4"/>
        <v>0</v>
      </c>
    </row>
    <row r="264" spans="1:7" x14ac:dyDescent="0.35">
      <c r="A264" s="47">
        <v>300064890</v>
      </c>
      <c r="B264" s="48" t="s">
        <v>128</v>
      </c>
      <c r="C264" s="47">
        <v>400052372</v>
      </c>
      <c r="D264" s="48" t="s">
        <v>32</v>
      </c>
      <c r="E264" s="49">
        <v>1</v>
      </c>
      <c r="F264" s="47" t="s">
        <v>6</v>
      </c>
      <c r="G264" s="41">
        <f t="shared" si="4"/>
        <v>0</v>
      </c>
    </row>
    <row r="265" spans="1:7" x14ac:dyDescent="0.35">
      <c r="A265" s="47">
        <v>300064890</v>
      </c>
      <c r="B265" s="48" t="s">
        <v>128</v>
      </c>
      <c r="C265" s="47">
        <v>300058885</v>
      </c>
      <c r="D265" s="48" t="s">
        <v>40</v>
      </c>
      <c r="E265" s="49">
        <v>12</v>
      </c>
      <c r="F265" s="47" t="s">
        <v>6</v>
      </c>
      <c r="G265" s="41">
        <f t="shared" si="4"/>
        <v>0</v>
      </c>
    </row>
    <row r="266" spans="1:7" x14ac:dyDescent="0.35">
      <c r="A266" s="47">
        <v>300064890</v>
      </c>
      <c r="B266" s="48" t="s">
        <v>128</v>
      </c>
      <c r="C266" s="47">
        <v>300056040</v>
      </c>
      <c r="D266" s="48" t="s">
        <v>60</v>
      </c>
      <c r="E266" s="49">
        <v>60</v>
      </c>
      <c r="F266" s="47" t="s">
        <v>6</v>
      </c>
      <c r="G266" s="41">
        <f t="shared" si="4"/>
        <v>0</v>
      </c>
    </row>
    <row r="267" spans="1:7" x14ac:dyDescent="0.35">
      <c r="A267" s="47">
        <v>300064890</v>
      </c>
      <c r="B267" s="48" t="s">
        <v>128</v>
      </c>
      <c r="C267" s="47">
        <v>400040043</v>
      </c>
      <c r="D267" s="48" t="s">
        <v>10</v>
      </c>
      <c r="E267" s="49">
        <v>1</v>
      </c>
      <c r="F267" s="47" t="s">
        <v>6</v>
      </c>
      <c r="G267" s="41">
        <f t="shared" si="4"/>
        <v>0</v>
      </c>
    </row>
    <row r="268" spans="1:7" x14ac:dyDescent="0.35">
      <c r="A268" s="47">
        <v>300064890</v>
      </c>
      <c r="B268" s="48" t="s">
        <v>128</v>
      </c>
      <c r="C268" s="47">
        <v>400030451</v>
      </c>
      <c r="D268" s="48" t="s">
        <v>17</v>
      </c>
      <c r="E268" s="49">
        <v>6</v>
      </c>
      <c r="F268" s="47" t="s">
        <v>6</v>
      </c>
      <c r="G268" s="41">
        <f>+$G$3*E268</f>
        <v>0</v>
      </c>
    </row>
    <row r="269" spans="1:7" x14ac:dyDescent="0.35">
      <c r="A269" s="47">
        <v>300064937</v>
      </c>
      <c r="B269" s="48" t="s">
        <v>129</v>
      </c>
      <c r="C269" s="47">
        <v>400052372</v>
      </c>
      <c r="D269" s="48" t="s">
        <v>121</v>
      </c>
      <c r="E269" s="49">
        <v>1</v>
      </c>
      <c r="F269" s="47" t="s">
        <v>6</v>
      </c>
      <c r="G269" s="41">
        <f t="shared" si="4"/>
        <v>0</v>
      </c>
    </row>
    <row r="270" spans="1:7" x14ac:dyDescent="0.35">
      <c r="A270" s="47">
        <v>300064937</v>
      </c>
      <c r="B270" s="48" t="s">
        <v>129</v>
      </c>
      <c r="C270" s="47">
        <v>300033887</v>
      </c>
      <c r="D270" s="48" t="s">
        <v>130</v>
      </c>
      <c r="E270" s="49">
        <v>6</v>
      </c>
      <c r="F270" s="47" t="s">
        <v>6</v>
      </c>
      <c r="G270" s="41">
        <f>+$G$3*E270</f>
        <v>0</v>
      </c>
    </row>
    <row r="271" spans="1:7" x14ac:dyDescent="0.35">
      <c r="A271" s="47">
        <v>300064937</v>
      </c>
      <c r="B271" s="48" t="s">
        <v>129</v>
      </c>
      <c r="C271" s="47">
        <v>400040043</v>
      </c>
      <c r="D271" s="48" t="s">
        <v>10</v>
      </c>
      <c r="E271" s="49">
        <v>1</v>
      </c>
      <c r="F271" s="47" t="s">
        <v>6</v>
      </c>
      <c r="G271" s="41">
        <f t="shared" si="4"/>
        <v>0</v>
      </c>
    </row>
    <row r="272" spans="1:7" x14ac:dyDescent="0.35">
      <c r="A272" s="47">
        <v>300064938</v>
      </c>
      <c r="B272" s="48" t="s">
        <v>131</v>
      </c>
      <c r="C272" s="47">
        <v>400052372</v>
      </c>
      <c r="D272" s="48" t="s">
        <v>121</v>
      </c>
      <c r="E272" s="49">
        <v>1</v>
      </c>
      <c r="F272" s="47" t="s">
        <v>6</v>
      </c>
      <c r="G272" s="41">
        <f t="shared" si="4"/>
        <v>0</v>
      </c>
    </row>
    <row r="273" spans="1:7" x14ac:dyDescent="0.35">
      <c r="A273" s="47">
        <v>300064938</v>
      </c>
      <c r="B273" s="48" t="s">
        <v>131</v>
      </c>
      <c r="C273" s="47">
        <v>300033977</v>
      </c>
      <c r="D273" s="48" t="s">
        <v>132</v>
      </c>
      <c r="E273" s="49">
        <v>6</v>
      </c>
      <c r="F273" s="47" t="s">
        <v>6</v>
      </c>
      <c r="G273" s="41">
        <f t="shared" si="4"/>
        <v>0</v>
      </c>
    </row>
    <row r="274" spans="1:7" x14ac:dyDescent="0.35">
      <c r="A274" s="47">
        <v>300064938</v>
      </c>
      <c r="B274" s="48" t="s">
        <v>131</v>
      </c>
      <c r="C274" s="47">
        <v>400040043</v>
      </c>
      <c r="D274" s="48" t="s">
        <v>10</v>
      </c>
      <c r="E274" s="49">
        <v>1</v>
      </c>
      <c r="F274" s="47" t="s">
        <v>6</v>
      </c>
      <c r="G274" s="41">
        <f t="shared" si="4"/>
        <v>0</v>
      </c>
    </row>
    <row r="275" spans="1:7" x14ac:dyDescent="0.35">
      <c r="A275" s="47">
        <v>300065472</v>
      </c>
      <c r="B275" s="48" t="s">
        <v>133</v>
      </c>
      <c r="C275" s="47">
        <v>400065220</v>
      </c>
      <c r="D275" s="48" t="s">
        <v>134</v>
      </c>
      <c r="E275" s="49">
        <v>1</v>
      </c>
      <c r="F275" s="47" t="s">
        <v>6</v>
      </c>
      <c r="G275" s="41">
        <f t="shared" si="4"/>
        <v>0</v>
      </c>
    </row>
    <row r="276" spans="1:7" x14ac:dyDescent="0.35">
      <c r="A276" s="47">
        <v>300065472</v>
      </c>
      <c r="B276" s="48" t="s">
        <v>133</v>
      </c>
      <c r="C276" s="47">
        <v>300065189</v>
      </c>
      <c r="D276" s="48" t="s">
        <v>135</v>
      </c>
      <c r="E276" s="49">
        <v>19</v>
      </c>
      <c r="F276" s="47" t="s">
        <v>6</v>
      </c>
      <c r="G276" s="41">
        <f t="shared" si="4"/>
        <v>0</v>
      </c>
    </row>
    <row r="277" spans="1:7" x14ac:dyDescent="0.35">
      <c r="A277" s="47">
        <v>300065472</v>
      </c>
      <c r="B277" s="48" t="s">
        <v>133</v>
      </c>
      <c r="C277" s="47">
        <v>400040043</v>
      </c>
      <c r="D277" s="48" t="s">
        <v>10</v>
      </c>
      <c r="E277" s="49">
        <v>1</v>
      </c>
      <c r="F277" s="47" t="s">
        <v>6</v>
      </c>
      <c r="G277" s="41">
        <f t="shared" si="4"/>
        <v>0</v>
      </c>
    </row>
    <row r="278" spans="1:7" x14ac:dyDescent="0.35">
      <c r="A278" s="47">
        <v>300065062</v>
      </c>
      <c r="B278" s="48" t="s">
        <v>136</v>
      </c>
      <c r="C278" s="47">
        <v>400052673</v>
      </c>
      <c r="D278" s="48" t="s">
        <v>137</v>
      </c>
      <c r="E278" s="49">
        <v>1</v>
      </c>
      <c r="F278" s="47" t="s">
        <v>6</v>
      </c>
      <c r="G278" s="41">
        <f t="shared" si="4"/>
        <v>0</v>
      </c>
    </row>
    <row r="279" spans="1:7" x14ac:dyDescent="0.35">
      <c r="A279" s="47">
        <v>300065062</v>
      </c>
      <c r="B279" s="48" t="s">
        <v>136</v>
      </c>
      <c r="C279" s="47">
        <v>300056678</v>
      </c>
      <c r="D279" s="48" t="s">
        <v>65</v>
      </c>
      <c r="E279" s="49">
        <v>24</v>
      </c>
      <c r="F279" s="47" t="s">
        <v>6</v>
      </c>
      <c r="G279" s="41">
        <f t="shared" si="4"/>
        <v>0</v>
      </c>
    </row>
    <row r="280" spans="1:7" x14ac:dyDescent="0.35">
      <c r="A280" s="47">
        <v>300065062</v>
      </c>
      <c r="B280" s="48" t="s">
        <v>136</v>
      </c>
      <c r="C280" s="47">
        <v>300065339</v>
      </c>
      <c r="D280" s="48" t="s">
        <v>24</v>
      </c>
      <c r="E280" s="49">
        <v>8</v>
      </c>
      <c r="F280" s="47" t="s">
        <v>6</v>
      </c>
      <c r="G280" s="41">
        <f t="shared" si="4"/>
        <v>0</v>
      </c>
    </row>
    <row r="281" spans="1:7" x14ac:dyDescent="0.35">
      <c r="A281" s="47">
        <v>300065062</v>
      </c>
      <c r="B281" s="48" t="s">
        <v>136</v>
      </c>
      <c r="C281" s="47">
        <v>400030451</v>
      </c>
      <c r="D281" s="48" t="s">
        <v>122</v>
      </c>
      <c r="E281" s="49">
        <v>4</v>
      </c>
      <c r="F281" s="47" t="s">
        <v>6</v>
      </c>
      <c r="G281" s="41">
        <f t="shared" si="4"/>
        <v>0</v>
      </c>
    </row>
    <row r="282" spans="1:7" x14ac:dyDescent="0.35">
      <c r="A282" s="47">
        <v>300065062</v>
      </c>
      <c r="B282" s="48" t="s">
        <v>136</v>
      </c>
      <c r="C282" s="47">
        <v>400040043</v>
      </c>
      <c r="D282" s="48" t="s">
        <v>10</v>
      </c>
      <c r="E282" s="49">
        <v>1</v>
      </c>
      <c r="F282" s="47" t="s">
        <v>6</v>
      </c>
      <c r="G282" s="41">
        <f t="shared" si="4"/>
        <v>0</v>
      </c>
    </row>
    <row r="283" spans="1:7" x14ac:dyDescent="0.35">
      <c r="A283" s="47">
        <v>300065063</v>
      </c>
      <c r="B283" s="48" t="s">
        <v>138</v>
      </c>
      <c r="C283" s="47">
        <v>400052673</v>
      </c>
      <c r="D283" s="48" t="s">
        <v>137</v>
      </c>
      <c r="E283" s="49">
        <v>1</v>
      </c>
      <c r="F283" s="47" t="s">
        <v>6</v>
      </c>
      <c r="G283" s="41">
        <f t="shared" si="4"/>
        <v>0</v>
      </c>
    </row>
    <row r="284" spans="1:7" x14ac:dyDescent="0.35">
      <c r="A284" s="47">
        <v>300065063</v>
      </c>
      <c r="B284" s="48" t="s">
        <v>138</v>
      </c>
      <c r="C284" s="47">
        <v>300056679</v>
      </c>
      <c r="D284" s="48" t="s">
        <v>139</v>
      </c>
      <c r="E284" s="49">
        <v>24</v>
      </c>
      <c r="F284" s="47" t="s">
        <v>6</v>
      </c>
      <c r="G284" s="41">
        <f t="shared" si="4"/>
        <v>0</v>
      </c>
    </row>
    <row r="285" spans="1:7" x14ac:dyDescent="0.35">
      <c r="A285" s="47">
        <v>300065063</v>
      </c>
      <c r="B285" s="48" t="s">
        <v>138</v>
      </c>
      <c r="C285" s="47">
        <v>300058040</v>
      </c>
      <c r="D285" s="48" t="s">
        <v>140</v>
      </c>
      <c r="E285" s="49">
        <v>8</v>
      </c>
      <c r="F285" s="47" t="s">
        <v>6</v>
      </c>
      <c r="G285" s="41">
        <f t="shared" si="4"/>
        <v>0</v>
      </c>
    </row>
    <row r="286" spans="1:7" x14ac:dyDescent="0.35">
      <c r="A286" s="47">
        <v>300065063</v>
      </c>
      <c r="B286" s="48" t="s">
        <v>138</v>
      </c>
      <c r="C286" s="47">
        <v>400030451</v>
      </c>
      <c r="D286" s="48" t="s">
        <v>122</v>
      </c>
      <c r="E286" s="49">
        <v>4</v>
      </c>
      <c r="F286" s="47" t="s">
        <v>6</v>
      </c>
      <c r="G286" s="41">
        <f t="shared" si="4"/>
        <v>0</v>
      </c>
    </row>
    <row r="287" spans="1:7" x14ac:dyDescent="0.35">
      <c r="A287" s="47">
        <v>300065063</v>
      </c>
      <c r="B287" s="48" t="s">
        <v>138</v>
      </c>
      <c r="C287" s="47">
        <v>400040043</v>
      </c>
      <c r="D287" s="48" t="s">
        <v>10</v>
      </c>
      <c r="E287" s="49">
        <v>1</v>
      </c>
      <c r="F287" s="47" t="s">
        <v>6</v>
      </c>
      <c r="G287" s="41">
        <f t="shared" si="4"/>
        <v>0</v>
      </c>
    </row>
    <row r="288" spans="1:7" x14ac:dyDescent="0.35">
      <c r="A288" s="47">
        <v>300064242</v>
      </c>
      <c r="B288" s="48" t="s">
        <v>141</v>
      </c>
      <c r="C288" s="47">
        <v>400063171</v>
      </c>
      <c r="D288" s="48" t="s">
        <v>142</v>
      </c>
      <c r="E288" s="49">
        <v>1</v>
      </c>
      <c r="F288" s="47" t="s">
        <v>6</v>
      </c>
      <c r="G288" s="41">
        <f t="shared" si="4"/>
        <v>0</v>
      </c>
    </row>
    <row r="289" spans="1:7 16293:16300" x14ac:dyDescent="0.35">
      <c r="A289" s="47">
        <v>300064242</v>
      </c>
      <c r="B289" s="48" t="s">
        <v>141</v>
      </c>
      <c r="C289" s="47">
        <v>400040043</v>
      </c>
      <c r="D289" s="48" t="s">
        <v>10</v>
      </c>
      <c r="E289" s="49">
        <v>1</v>
      </c>
      <c r="F289" s="47" t="s">
        <v>6</v>
      </c>
      <c r="G289" s="41">
        <f t="shared" si="4"/>
        <v>0</v>
      </c>
    </row>
    <row r="290" spans="1:7 16293:16300" x14ac:dyDescent="0.35">
      <c r="A290" s="47">
        <v>300064242</v>
      </c>
      <c r="B290" s="48" t="s">
        <v>141</v>
      </c>
      <c r="C290" s="47">
        <v>300057587</v>
      </c>
      <c r="D290" s="48" t="s">
        <v>143</v>
      </c>
      <c r="E290" s="49">
        <v>24</v>
      </c>
      <c r="F290" s="47" t="s">
        <v>6</v>
      </c>
      <c r="G290" s="41">
        <f>+$G$3*E290</f>
        <v>0</v>
      </c>
    </row>
    <row r="291" spans="1:7 16293:16300" x14ac:dyDescent="0.35">
      <c r="A291" s="47">
        <v>300065585</v>
      </c>
      <c r="B291" s="48" t="s">
        <v>144</v>
      </c>
      <c r="C291" s="47">
        <v>400063171</v>
      </c>
      <c r="D291" s="48" t="s">
        <v>142</v>
      </c>
      <c r="E291" s="49">
        <v>1</v>
      </c>
      <c r="F291" s="47" t="s">
        <v>6</v>
      </c>
      <c r="G291" s="41">
        <f t="shared" ref="G291:G296" si="5">+$G$3*E291</f>
        <v>0</v>
      </c>
    </row>
    <row r="292" spans="1:7 16293:16300" x14ac:dyDescent="0.35">
      <c r="A292" s="47">
        <v>300065585</v>
      </c>
      <c r="B292" s="48" t="s">
        <v>144</v>
      </c>
      <c r="C292" s="47">
        <v>300056029</v>
      </c>
      <c r="D292" s="48" t="s">
        <v>145</v>
      </c>
      <c r="E292" s="49">
        <v>8</v>
      </c>
      <c r="F292" s="47" t="s">
        <v>6</v>
      </c>
      <c r="G292" s="41">
        <f t="shared" si="5"/>
        <v>0</v>
      </c>
    </row>
    <row r="293" spans="1:7 16293:16300" x14ac:dyDescent="0.35">
      <c r="A293" s="47">
        <v>300065585</v>
      </c>
      <c r="B293" s="48" t="s">
        <v>144</v>
      </c>
      <c r="C293" s="47">
        <v>300056027</v>
      </c>
      <c r="D293" s="48" t="s">
        <v>146</v>
      </c>
      <c r="E293" s="49">
        <v>8</v>
      </c>
      <c r="F293" s="47" t="s">
        <v>6</v>
      </c>
      <c r="G293" s="41">
        <f t="shared" si="5"/>
        <v>0</v>
      </c>
    </row>
    <row r="294" spans="1:7 16293:16300" x14ac:dyDescent="0.35">
      <c r="A294" s="47">
        <v>300065585</v>
      </c>
      <c r="B294" s="48" t="s">
        <v>144</v>
      </c>
      <c r="C294" s="47">
        <v>400040043</v>
      </c>
      <c r="D294" s="48" t="s">
        <v>10</v>
      </c>
      <c r="E294" s="49">
        <v>1</v>
      </c>
      <c r="F294" s="47" t="s">
        <v>6</v>
      </c>
      <c r="G294" s="41">
        <f t="shared" si="5"/>
        <v>0</v>
      </c>
    </row>
    <row r="295" spans="1:7 16293:16300" x14ac:dyDescent="0.35">
      <c r="A295" s="47">
        <v>300065959</v>
      </c>
      <c r="B295" s="48" t="s">
        <v>147</v>
      </c>
      <c r="C295" s="47">
        <v>400068432</v>
      </c>
      <c r="D295" s="48" t="s">
        <v>148</v>
      </c>
      <c r="E295" s="49">
        <v>1</v>
      </c>
      <c r="F295" s="47" t="s">
        <v>6</v>
      </c>
      <c r="G295" s="41">
        <f t="shared" si="5"/>
        <v>0</v>
      </c>
    </row>
    <row r="296" spans="1:7 16293:16300" x14ac:dyDescent="0.35">
      <c r="A296" s="47">
        <v>300065959</v>
      </c>
      <c r="B296" s="48" t="s">
        <v>147</v>
      </c>
      <c r="C296" s="47">
        <v>300065060</v>
      </c>
      <c r="D296" s="48" t="s">
        <v>125</v>
      </c>
      <c r="E296" s="49">
        <v>7</v>
      </c>
      <c r="F296" s="47" t="s">
        <v>6</v>
      </c>
      <c r="G296" s="41">
        <f t="shared" si="5"/>
        <v>0</v>
      </c>
    </row>
    <row r="297" spans="1:7 16293:16300" x14ac:dyDescent="0.35">
      <c r="A297" s="47">
        <v>300065959</v>
      </c>
      <c r="B297" s="48" t="s">
        <v>147</v>
      </c>
      <c r="C297" s="47">
        <v>300065061</v>
      </c>
      <c r="D297" s="48" t="s">
        <v>127</v>
      </c>
      <c r="E297" s="49">
        <v>11</v>
      </c>
      <c r="F297" s="47" t="s">
        <v>6</v>
      </c>
      <c r="G297" s="41">
        <f>+$G$3*E297</f>
        <v>0</v>
      </c>
    </row>
    <row r="298" spans="1:7 16293:16300" x14ac:dyDescent="0.35">
      <c r="A298" s="47">
        <v>300065959</v>
      </c>
      <c r="B298" s="48" t="s">
        <v>147</v>
      </c>
      <c r="C298" s="47">
        <v>400040043</v>
      </c>
      <c r="D298" s="48" t="s">
        <v>10</v>
      </c>
      <c r="E298" s="49">
        <v>1</v>
      </c>
      <c r="F298" s="47" t="s">
        <v>6</v>
      </c>
      <c r="G298" s="41">
        <f>+$G$3*E298</f>
        <v>0</v>
      </c>
    </row>
    <row r="299" spans="1:7 16293:16300" x14ac:dyDescent="0.35">
      <c r="A299" s="43">
        <v>300066503</v>
      </c>
      <c r="B299" s="44" t="s">
        <v>43</v>
      </c>
      <c r="C299" s="43">
        <v>300033914</v>
      </c>
      <c r="D299" s="43" t="s">
        <v>36</v>
      </c>
      <c r="E299" s="45">
        <v>6</v>
      </c>
      <c r="F299" s="43" t="s">
        <v>6</v>
      </c>
      <c r="G299" s="41">
        <f>+$G$3*E299</f>
        <v>0</v>
      </c>
    </row>
    <row r="300" spans="1:7 16293:16300" x14ac:dyDescent="0.35">
      <c r="A300" s="43">
        <v>300066503</v>
      </c>
      <c r="B300" s="44" t="s">
        <v>43</v>
      </c>
      <c r="C300" s="43">
        <v>300063074</v>
      </c>
      <c r="D300" s="43" t="s">
        <v>37</v>
      </c>
      <c r="E300" s="45">
        <v>9</v>
      </c>
      <c r="F300" s="43" t="s">
        <v>6</v>
      </c>
      <c r="G300" s="41">
        <f>+$G$3*E300</f>
        <v>0</v>
      </c>
    </row>
    <row r="301" spans="1:7 16293:16300" x14ac:dyDescent="0.35">
      <c r="A301" s="43">
        <v>300066503</v>
      </c>
      <c r="B301" s="44" t="s">
        <v>43</v>
      </c>
      <c r="C301" s="38">
        <v>300065339</v>
      </c>
      <c r="D301" s="43" t="s">
        <v>24</v>
      </c>
      <c r="E301" s="45">
        <v>3</v>
      </c>
      <c r="F301" s="43" t="s">
        <v>6</v>
      </c>
      <c r="G301" s="41">
        <f t="shared" ref="G301:G364" si="6">+$G$3*E301</f>
        <v>0</v>
      </c>
      <c r="XBQ301" s="26"/>
      <c r="XBR301" s="16"/>
      <c r="XBS301" s="27"/>
      <c r="XBT301" s="16"/>
      <c r="XBU301" s="28"/>
      <c r="XBV301" s="29"/>
      <c r="XBW301" s="30"/>
      <c r="XBX301" s="31"/>
    </row>
    <row r="302" spans="1:7 16293:16300" x14ac:dyDescent="0.35">
      <c r="A302" s="43">
        <v>300066503</v>
      </c>
      <c r="B302" s="44" t="s">
        <v>43</v>
      </c>
      <c r="C302" s="43">
        <v>300056037</v>
      </c>
      <c r="D302" s="43" t="s">
        <v>5</v>
      </c>
      <c r="E302" s="45">
        <v>6</v>
      </c>
      <c r="F302" s="43" t="s">
        <v>6</v>
      </c>
      <c r="G302" s="41">
        <f t="shared" si="6"/>
        <v>0</v>
      </c>
    </row>
    <row r="303" spans="1:7 16293:16300" x14ac:dyDescent="0.35">
      <c r="A303" s="43">
        <v>300066503</v>
      </c>
      <c r="B303" s="44" t="s">
        <v>43</v>
      </c>
      <c r="C303" s="43">
        <v>300056038</v>
      </c>
      <c r="D303" s="43" t="s">
        <v>7</v>
      </c>
      <c r="E303" s="45">
        <v>6</v>
      </c>
      <c r="F303" s="43" t="s">
        <v>6</v>
      </c>
      <c r="G303" s="41">
        <f t="shared" si="6"/>
        <v>0</v>
      </c>
    </row>
    <row r="304" spans="1:7 16293:16300" x14ac:dyDescent="0.35">
      <c r="A304" s="43">
        <v>300066503</v>
      </c>
      <c r="B304" s="44" t="s">
        <v>43</v>
      </c>
      <c r="C304" s="43">
        <v>300056056</v>
      </c>
      <c r="D304" s="43" t="s">
        <v>29</v>
      </c>
      <c r="E304" s="45">
        <v>6</v>
      </c>
      <c r="F304" s="43" t="s">
        <v>6</v>
      </c>
      <c r="G304" s="41">
        <f t="shared" si="6"/>
        <v>0</v>
      </c>
    </row>
    <row r="305" spans="1:7" x14ac:dyDescent="0.35">
      <c r="A305" s="43">
        <v>300066503</v>
      </c>
      <c r="B305" s="44" t="s">
        <v>43</v>
      </c>
      <c r="C305" s="43">
        <v>300056131</v>
      </c>
      <c r="D305" s="43" t="s">
        <v>44</v>
      </c>
      <c r="E305" s="45">
        <v>6</v>
      </c>
      <c r="F305" s="43" t="s">
        <v>6</v>
      </c>
      <c r="G305" s="41">
        <f t="shared" si="6"/>
        <v>0</v>
      </c>
    </row>
    <row r="306" spans="1:7" x14ac:dyDescent="0.35">
      <c r="A306" s="43">
        <v>300066503</v>
      </c>
      <c r="B306" s="44" t="s">
        <v>43</v>
      </c>
      <c r="C306" s="43">
        <v>300057925</v>
      </c>
      <c r="D306" s="43" t="s">
        <v>38</v>
      </c>
      <c r="E306" s="45">
        <v>6</v>
      </c>
      <c r="F306" s="43" t="s">
        <v>6</v>
      </c>
      <c r="G306" s="41">
        <f t="shared" si="6"/>
        <v>0</v>
      </c>
    </row>
    <row r="307" spans="1:7" x14ac:dyDescent="0.35">
      <c r="A307" s="43">
        <v>300066503</v>
      </c>
      <c r="B307" s="44" t="s">
        <v>43</v>
      </c>
      <c r="C307" s="43">
        <v>300058062</v>
      </c>
      <c r="D307" s="43" t="s">
        <v>45</v>
      </c>
      <c r="E307" s="45">
        <v>6</v>
      </c>
      <c r="F307" s="43" t="s">
        <v>6</v>
      </c>
      <c r="G307" s="41">
        <f t="shared" si="6"/>
        <v>0</v>
      </c>
    </row>
    <row r="308" spans="1:7" x14ac:dyDescent="0.35">
      <c r="A308" s="43">
        <v>300066503</v>
      </c>
      <c r="B308" s="44" t="s">
        <v>43</v>
      </c>
      <c r="C308" s="43">
        <v>300058885</v>
      </c>
      <c r="D308" s="43" t="s">
        <v>40</v>
      </c>
      <c r="E308" s="45">
        <v>6</v>
      </c>
      <c r="F308" s="43" t="s">
        <v>6</v>
      </c>
      <c r="G308" s="41">
        <f t="shared" si="6"/>
        <v>0</v>
      </c>
    </row>
    <row r="309" spans="1:7" x14ac:dyDescent="0.35">
      <c r="A309" s="43">
        <v>300066503</v>
      </c>
      <c r="B309" s="44" t="s">
        <v>43</v>
      </c>
      <c r="C309" s="43">
        <v>300062962</v>
      </c>
      <c r="D309" s="43" t="s">
        <v>46</v>
      </c>
      <c r="E309" s="45">
        <v>6</v>
      </c>
      <c r="F309" s="43" t="s">
        <v>6</v>
      </c>
      <c r="G309" s="41">
        <f t="shared" si="6"/>
        <v>0</v>
      </c>
    </row>
    <row r="310" spans="1:7" x14ac:dyDescent="0.35">
      <c r="A310" s="43">
        <v>300066503</v>
      </c>
      <c r="B310" s="44" t="s">
        <v>43</v>
      </c>
      <c r="C310" s="43">
        <v>400040043</v>
      </c>
      <c r="D310" s="43" t="s">
        <v>10</v>
      </c>
      <c r="E310" s="45">
        <v>1</v>
      </c>
      <c r="F310" s="43" t="s">
        <v>6</v>
      </c>
      <c r="G310" s="41">
        <f t="shared" si="6"/>
        <v>0</v>
      </c>
    </row>
    <row r="311" spans="1:7" x14ac:dyDescent="0.35">
      <c r="A311" s="43">
        <v>300066503</v>
      </c>
      <c r="B311" s="44" t="s">
        <v>43</v>
      </c>
      <c r="C311" s="43">
        <v>400052672</v>
      </c>
      <c r="D311" s="43" t="s">
        <v>41</v>
      </c>
      <c r="E311" s="45">
        <v>1</v>
      </c>
      <c r="F311" s="43" t="s">
        <v>6</v>
      </c>
      <c r="G311" s="41">
        <f t="shared" si="6"/>
        <v>0</v>
      </c>
    </row>
    <row r="312" spans="1:7" x14ac:dyDescent="0.35">
      <c r="A312" s="43">
        <v>300066503</v>
      </c>
      <c r="B312" s="44" t="s">
        <v>43</v>
      </c>
      <c r="C312" s="43">
        <v>400061457</v>
      </c>
      <c r="D312" s="43" t="s">
        <v>47</v>
      </c>
      <c r="E312" s="45">
        <v>3</v>
      </c>
      <c r="F312" s="43" t="s">
        <v>6</v>
      </c>
      <c r="G312" s="41">
        <f t="shared" si="6"/>
        <v>0</v>
      </c>
    </row>
    <row r="313" spans="1:7" x14ac:dyDescent="0.35">
      <c r="A313" s="43">
        <v>300066503</v>
      </c>
      <c r="B313" s="44" t="s">
        <v>43</v>
      </c>
      <c r="C313" s="43">
        <v>400030451</v>
      </c>
      <c r="D313" s="43" t="s">
        <v>122</v>
      </c>
      <c r="E313" s="45">
        <v>3</v>
      </c>
      <c r="F313" s="43" t="s">
        <v>6</v>
      </c>
      <c r="G313" s="41">
        <f t="shared" si="6"/>
        <v>0</v>
      </c>
    </row>
    <row r="314" spans="1:7" x14ac:dyDescent="0.35">
      <c r="A314" s="43">
        <v>300066620</v>
      </c>
      <c r="B314" s="44" t="s">
        <v>149</v>
      </c>
      <c r="C314" s="43">
        <v>400052373</v>
      </c>
      <c r="D314" s="43" t="s">
        <v>150</v>
      </c>
      <c r="E314" s="45">
        <v>1</v>
      </c>
      <c r="F314" s="43" t="s">
        <v>6</v>
      </c>
      <c r="G314" s="41">
        <f t="shared" si="6"/>
        <v>0</v>
      </c>
    </row>
    <row r="315" spans="1:7" x14ac:dyDescent="0.35">
      <c r="A315" s="43">
        <v>300066620</v>
      </c>
      <c r="B315" s="44" t="s">
        <v>149</v>
      </c>
      <c r="C315" s="43">
        <v>400068350</v>
      </c>
      <c r="D315" s="43" t="s">
        <v>151</v>
      </c>
      <c r="E315" s="45">
        <v>8</v>
      </c>
      <c r="F315" s="43" t="s">
        <v>6</v>
      </c>
      <c r="G315" s="41">
        <f t="shared" si="6"/>
        <v>0</v>
      </c>
    </row>
    <row r="316" spans="1:7" x14ac:dyDescent="0.35">
      <c r="A316" s="43">
        <v>300066620</v>
      </c>
      <c r="B316" s="44" t="s">
        <v>149</v>
      </c>
      <c r="C316" s="43">
        <v>300065630</v>
      </c>
      <c r="D316" s="43" t="s">
        <v>152</v>
      </c>
      <c r="E316" s="45">
        <v>40</v>
      </c>
      <c r="F316" s="43" t="s">
        <v>6</v>
      </c>
      <c r="G316" s="41">
        <f t="shared" si="6"/>
        <v>0</v>
      </c>
    </row>
    <row r="317" spans="1:7" x14ac:dyDescent="0.35">
      <c r="A317" s="43">
        <v>300066620</v>
      </c>
      <c r="B317" s="44" t="s">
        <v>149</v>
      </c>
      <c r="C317" s="43">
        <v>300056063</v>
      </c>
      <c r="D317" s="43" t="s">
        <v>153</v>
      </c>
      <c r="E317" s="45">
        <v>40</v>
      </c>
      <c r="F317" s="43" t="s">
        <v>6</v>
      </c>
      <c r="G317" s="41">
        <f t="shared" si="6"/>
        <v>0</v>
      </c>
    </row>
    <row r="318" spans="1:7" x14ac:dyDescent="0.35">
      <c r="A318" s="43">
        <v>300066620</v>
      </c>
      <c r="B318" s="44" t="s">
        <v>149</v>
      </c>
      <c r="C318" s="43">
        <v>400040043</v>
      </c>
      <c r="D318" s="43" t="s">
        <v>10</v>
      </c>
      <c r="E318" s="45">
        <v>1</v>
      </c>
      <c r="F318" s="43" t="s">
        <v>6</v>
      </c>
      <c r="G318" s="41">
        <f t="shared" si="6"/>
        <v>0</v>
      </c>
    </row>
    <row r="319" spans="1:7" x14ac:dyDescent="0.35">
      <c r="A319" s="43">
        <v>300066605</v>
      </c>
      <c r="B319" s="44" t="s">
        <v>154</v>
      </c>
      <c r="C319" s="43">
        <v>400052673</v>
      </c>
      <c r="D319" s="43" t="s">
        <v>137</v>
      </c>
      <c r="E319" s="45">
        <v>1</v>
      </c>
      <c r="F319" s="43" t="s">
        <v>6</v>
      </c>
      <c r="G319" s="41">
        <f t="shared" si="6"/>
        <v>0</v>
      </c>
    </row>
    <row r="320" spans="1:7" x14ac:dyDescent="0.35">
      <c r="A320" s="43">
        <v>300066605</v>
      </c>
      <c r="B320" s="44" t="s">
        <v>154</v>
      </c>
      <c r="C320" s="43">
        <v>300057168</v>
      </c>
      <c r="D320" s="43" t="s">
        <v>74</v>
      </c>
      <c r="E320" s="45">
        <v>28</v>
      </c>
      <c r="F320" s="43" t="s">
        <v>6</v>
      </c>
      <c r="G320" s="41">
        <f t="shared" si="6"/>
        <v>0</v>
      </c>
    </row>
    <row r="321" spans="1:7" x14ac:dyDescent="0.35">
      <c r="A321" s="43">
        <v>300066605</v>
      </c>
      <c r="B321" s="44" t="s">
        <v>154</v>
      </c>
      <c r="C321" s="43">
        <v>400040043</v>
      </c>
      <c r="D321" s="43" t="s">
        <v>10</v>
      </c>
      <c r="E321" s="45">
        <v>1</v>
      </c>
      <c r="F321" s="43" t="s">
        <v>6</v>
      </c>
      <c r="G321" s="41">
        <f t="shared" si="6"/>
        <v>0</v>
      </c>
    </row>
    <row r="322" spans="1:7" x14ac:dyDescent="0.35">
      <c r="A322" s="43">
        <v>300066605</v>
      </c>
      <c r="B322" s="44" t="s">
        <v>154</v>
      </c>
      <c r="C322" s="43">
        <v>400030451</v>
      </c>
      <c r="D322" s="43" t="s">
        <v>122</v>
      </c>
      <c r="E322" s="45">
        <v>28</v>
      </c>
      <c r="F322" s="43" t="s">
        <v>6</v>
      </c>
      <c r="G322" s="41">
        <f t="shared" si="6"/>
        <v>0</v>
      </c>
    </row>
    <row r="323" spans="1:7" x14ac:dyDescent="0.35">
      <c r="A323" s="43">
        <v>300066603</v>
      </c>
      <c r="B323" s="44" t="s">
        <v>155</v>
      </c>
      <c r="C323" s="43">
        <v>400052372</v>
      </c>
      <c r="D323" s="43" t="s">
        <v>121</v>
      </c>
      <c r="E323" s="45">
        <v>1</v>
      </c>
      <c r="F323" s="43" t="s">
        <v>6</v>
      </c>
      <c r="G323" s="41">
        <f t="shared" si="6"/>
        <v>0</v>
      </c>
    </row>
    <row r="324" spans="1:7" x14ac:dyDescent="0.35">
      <c r="A324" s="43">
        <v>300066603</v>
      </c>
      <c r="B324" s="44" t="s">
        <v>155</v>
      </c>
      <c r="C324" s="43">
        <v>300056111</v>
      </c>
      <c r="D324" s="43" t="s">
        <v>93</v>
      </c>
      <c r="E324" s="45">
        <v>3</v>
      </c>
      <c r="F324" s="43" t="s">
        <v>6</v>
      </c>
      <c r="G324" s="41">
        <f t="shared" si="6"/>
        <v>0</v>
      </c>
    </row>
    <row r="325" spans="1:7" x14ac:dyDescent="0.35">
      <c r="A325" s="43">
        <v>300066603</v>
      </c>
      <c r="B325" s="44" t="s">
        <v>155</v>
      </c>
      <c r="C325" s="43">
        <v>300062903</v>
      </c>
      <c r="D325" s="43" t="s">
        <v>156</v>
      </c>
      <c r="E325" s="45">
        <v>3</v>
      </c>
      <c r="F325" s="43" t="s">
        <v>6</v>
      </c>
      <c r="G325" s="41">
        <f t="shared" si="6"/>
        <v>0</v>
      </c>
    </row>
    <row r="326" spans="1:7" x14ac:dyDescent="0.35">
      <c r="A326" s="43">
        <v>300066603</v>
      </c>
      <c r="B326" s="44" t="s">
        <v>155</v>
      </c>
      <c r="C326" s="43">
        <v>300056031</v>
      </c>
      <c r="D326" s="43" t="s">
        <v>157</v>
      </c>
      <c r="E326" s="45">
        <v>3</v>
      </c>
      <c r="F326" s="43" t="s">
        <v>6</v>
      </c>
      <c r="G326" s="41">
        <f t="shared" si="6"/>
        <v>0</v>
      </c>
    </row>
    <row r="327" spans="1:7" x14ac:dyDescent="0.35">
      <c r="A327" s="43">
        <v>300066603</v>
      </c>
      <c r="B327" s="44" t="s">
        <v>155</v>
      </c>
      <c r="C327" s="43">
        <v>300056078</v>
      </c>
      <c r="D327" s="43" t="s">
        <v>158</v>
      </c>
      <c r="E327" s="45">
        <v>3</v>
      </c>
      <c r="F327" s="43" t="s">
        <v>6</v>
      </c>
      <c r="G327" s="41">
        <f t="shared" si="6"/>
        <v>0</v>
      </c>
    </row>
    <row r="328" spans="1:7" x14ac:dyDescent="0.35">
      <c r="A328" s="43">
        <v>300066603</v>
      </c>
      <c r="B328" s="44" t="s">
        <v>155</v>
      </c>
      <c r="C328" s="43">
        <v>300056063</v>
      </c>
      <c r="D328" s="43" t="s">
        <v>153</v>
      </c>
      <c r="E328" s="45">
        <v>9</v>
      </c>
      <c r="F328" s="43" t="s">
        <v>6</v>
      </c>
      <c r="G328" s="41">
        <f t="shared" si="6"/>
        <v>0</v>
      </c>
    </row>
    <row r="329" spans="1:7" x14ac:dyDescent="0.35">
      <c r="A329" s="43">
        <v>300066603</v>
      </c>
      <c r="B329" s="44" t="s">
        <v>155</v>
      </c>
      <c r="C329" s="43">
        <v>400040043</v>
      </c>
      <c r="D329" s="43" t="s">
        <v>10</v>
      </c>
      <c r="E329" s="45">
        <v>1</v>
      </c>
      <c r="F329" s="43" t="s">
        <v>6</v>
      </c>
      <c r="G329" s="41">
        <f t="shared" si="6"/>
        <v>0</v>
      </c>
    </row>
    <row r="330" spans="1:7" x14ac:dyDescent="0.35">
      <c r="A330" s="43">
        <v>300066603</v>
      </c>
      <c r="B330" s="44" t="s">
        <v>155</v>
      </c>
      <c r="C330" s="43">
        <v>400030451</v>
      </c>
      <c r="D330" s="43" t="s">
        <v>122</v>
      </c>
      <c r="E330" s="45">
        <v>3</v>
      </c>
      <c r="F330" s="43" t="s">
        <v>6</v>
      </c>
      <c r="G330" s="41">
        <f t="shared" si="6"/>
        <v>0</v>
      </c>
    </row>
    <row r="331" spans="1:7" x14ac:dyDescent="0.35">
      <c r="A331" s="43">
        <v>300066603</v>
      </c>
      <c r="B331" s="44" t="s">
        <v>155</v>
      </c>
      <c r="C331" s="43">
        <v>400030486</v>
      </c>
      <c r="D331" s="43" t="s">
        <v>159</v>
      </c>
      <c r="E331" s="45">
        <v>4</v>
      </c>
      <c r="F331" s="43" t="s">
        <v>15</v>
      </c>
      <c r="G331" s="41">
        <f t="shared" si="6"/>
        <v>0</v>
      </c>
    </row>
    <row r="332" spans="1:7" x14ac:dyDescent="0.35">
      <c r="A332" s="43">
        <v>300066602</v>
      </c>
      <c r="B332" s="44" t="s">
        <v>160</v>
      </c>
      <c r="C332" s="43">
        <v>400052372</v>
      </c>
      <c r="D332" s="43" t="s">
        <v>121</v>
      </c>
      <c r="E332" s="45">
        <v>1</v>
      </c>
      <c r="F332" s="43" t="s">
        <v>6</v>
      </c>
      <c r="G332" s="41">
        <f t="shared" si="6"/>
        <v>0</v>
      </c>
    </row>
    <row r="333" spans="1:7" x14ac:dyDescent="0.35">
      <c r="A333" s="43">
        <v>300066602</v>
      </c>
      <c r="B333" s="44" t="s">
        <v>160</v>
      </c>
      <c r="C333" s="43">
        <v>300056113</v>
      </c>
      <c r="D333" s="43" t="s">
        <v>95</v>
      </c>
      <c r="E333" s="45">
        <v>3</v>
      </c>
      <c r="F333" s="43" t="s">
        <v>6</v>
      </c>
      <c r="G333" s="41">
        <f t="shared" si="6"/>
        <v>0</v>
      </c>
    </row>
    <row r="334" spans="1:7" x14ac:dyDescent="0.35">
      <c r="A334" s="43">
        <v>300066602</v>
      </c>
      <c r="B334" s="44" t="s">
        <v>160</v>
      </c>
      <c r="C334" s="43">
        <v>300056071</v>
      </c>
      <c r="D334" s="43" t="s">
        <v>161</v>
      </c>
      <c r="E334" s="45">
        <v>3</v>
      </c>
      <c r="F334" s="43" t="s">
        <v>6</v>
      </c>
      <c r="G334" s="41">
        <f t="shared" si="6"/>
        <v>0</v>
      </c>
    </row>
    <row r="335" spans="1:7" x14ac:dyDescent="0.35">
      <c r="A335" s="43">
        <v>300066602</v>
      </c>
      <c r="B335" s="44" t="s">
        <v>160</v>
      </c>
      <c r="C335" s="43">
        <v>300056031</v>
      </c>
      <c r="D335" s="43" t="s">
        <v>157</v>
      </c>
      <c r="E335" s="45">
        <v>3</v>
      </c>
      <c r="F335" s="43" t="s">
        <v>6</v>
      </c>
      <c r="G335" s="41">
        <f t="shared" si="6"/>
        <v>0</v>
      </c>
    </row>
    <row r="336" spans="1:7" x14ac:dyDescent="0.35">
      <c r="A336" s="43">
        <v>300066602</v>
      </c>
      <c r="B336" s="44" t="s">
        <v>160</v>
      </c>
      <c r="C336" s="43">
        <v>300056078</v>
      </c>
      <c r="D336" s="43" t="s">
        <v>158</v>
      </c>
      <c r="E336" s="45">
        <v>3</v>
      </c>
      <c r="F336" s="43" t="s">
        <v>6</v>
      </c>
      <c r="G336" s="41">
        <f t="shared" si="6"/>
        <v>0</v>
      </c>
    </row>
    <row r="337" spans="1:7" x14ac:dyDescent="0.35">
      <c r="A337" s="43">
        <v>300066602</v>
      </c>
      <c r="B337" s="44" t="s">
        <v>160</v>
      </c>
      <c r="C337" s="43">
        <v>300056063</v>
      </c>
      <c r="D337" s="43" t="s">
        <v>153</v>
      </c>
      <c r="E337" s="45">
        <v>9</v>
      </c>
      <c r="F337" s="43" t="s">
        <v>6</v>
      </c>
      <c r="G337" s="41">
        <f t="shared" si="6"/>
        <v>0</v>
      </c>
    </row>
    <row r="338" spans="1:7" x14ac:dyDescent="0.35">
      <c r="A338" s="43">
        <v>300066602</v>
      </c>
      <c r="B338" s="44" t="s">
        <v>160</v>
      </c>
      <c r="C338" s="43">
        <v>400040043</v>
      </c>
      <c r="D338" s="43" t="s">
        <v>10</v>
      </c>
      <c r="E338" s="45">
        <v>1</v>
      </c>
      <c r="F338" s="43" t="s">
        <v>6</v>
      </c>
      <c r="G338" s="41">
        <f t="shared" si="6"/>
        <v>0</v>
      </c>
    </row>
    <row r="339" spans="1:7" x14ac:dyDescent="0.35">
      <c r="A339" s="43">
        <v>300066602</v>
      </c>
      <c r="B339" s="44" t="s">
        <v>160</v>
      </c>
      <c r="C339" s="43">
        <v>400030451</v>
      </c>
      <c r="D339" s="43" t="s">
        <v>122</v>
      </c>
      <c r="E339" s="45">
        <v>3</v>
      </c>
      <c r="F339" s="43" t="s">
        <v>6</v>
      </c>
      <c r="G339" s="41">
        <f t="shared" si="6"/>
        <v>0</v>
      </c>
    </row>
    <row r="340" spans="1:7" x14ac:dyDescent="0.35">
      <c r="A340" s="43">
        <v>300066602</v>
      </c>
      <c r="B340" s="44" t="s">
        <v>160</v>
      </c>
      <c r="C340" s="43">
        <v>400030486</v>
      </c>
      <c r="D340" s="43" t="s">
        <v>159</v>
      </c>
      <c r="E340" s="45">
        <v>4</v>
      </c>
      <c r="F340" s="43" t="s">
        <v>15</v>
      </c>
      <c r="G340" s="41">
        <f t="shared" si="6"/>
        <v>0</v>
      </c>
    </row>
    <row r="341" spans="1:7" x14ac:dyDescent="0.35">
      <c r="A341" s="43">
        <v>300066506</v>
      </c>
      <c r="B341" s="44" t="s">
        <v>162</v>
      </c>
      <c r="C341" s="43">
        <v>400052671</v>
      </c>
      <c r="D341" s="43" t="s">
        <v>163</v>
      </c>
      <c r="E341" s="45">
        <v>1</v>
      </c>
      <c r="F341" s="43" t="s">
        <v>6</v>
      </c>
      <c r="G341" s="41">
        <f t="shared" si="6"/>
        <v>0</v>
      </c>
    </row>
    <row r="342" spans="1:7" x14ac:dyDescent="0.35">
      <c r="A342" s="43">
        <v>300066506</v>
      </c>
      <c r="B342" s="44" t="s">
        <v>162</v>
      </c>
      <c r="C342" s="43">
        <v>300056564</v>
      </c>
      <c r="D342" s="43" t="s">
        <v>164</v>
      </c>
      <c r="E342" s="45">
        <v>70</v>
      </c>
      <c r="F342" s="43" t="s">
        <v>6</v>
      </c>
      <c r="G342" s="41">
        <f t="shared" si="6"/>
        <v>0</v>
      </c>
    </row>
    <row r="343" spans="1:7" x14ac:dyDescent="0.35">
      <c r="A343" s="43">
        <v>300066506</v>
      </c>
      <c r="B343" s="44" t="s">
        <v>162</v>
      </c>
      <c r="C343" s="43">
        <v>400040043</v>
      </c>
      <c r="D343" s="43" t="s">
        <v>10</v>
      </c>
      <c r="E343" s="45">
        <v>1</v>
      </c>
      <c r="F343" s="43" t="s">
        <v>6</v>
      </c>
      <c r="G343" s="41">
        <f t="shared" si="6"/>
        <v>0</v>
      </c>
    </row>
    <row r="344" spans="1:7" x14ac:dyDescent="0.35">
      <c r="A344" s="43">
        <v>300066506</v>
      </c>
      <c r="B344" s="44" t="s">
        <v>162</v>
      </c>
      <c r="C344" s="43">
        <v>400030451</v>
      </c>
      <c r="D344" s="43" t="s">
        <v>122</v>
      </c>
      <c r="E344" s="45">
        <v>10</v>
      </c>
      <c r="F344" s="43" t="s">
        <v>6</v>
      </c>
      <c r="G344" s="41">
        <f t="shared" si="6"/>
        <v>0</v>
      </c>
    </row>
    <row r="345" spans="1:7" x14ac:dyDescent="0.35">
      <c r="A345" s="43">
        <v>300066507</v>
      </c>
      <c r="B345" s="44" t="s">
        <v>165</v>
      </c>
      <c r="C345" s="43">
        <v>400052671</v>
      </c>
      <c r="D345" s="43" t="s">
        <v>163</v>
      </c>
      <c r="E345" s="45">
        <v>1</v>
      </c>
      <c r="F345" s="43" t="s">
        <v>6</v>
      </c>
      <c r="G345" s="41">
        <f t="shared" si="6"/>
        <v>0</v>
      </c>
    </row>
    <row r="346" spans="1:7" x14ac:dyDescent="0.35">
      <c r="A346" s="43">
        <v>300066507</v>
      </c>
      <c r="B346" s="44" t="s">
        <v>165</v>
      </c>
      <c r="C346" s="43">
        <v>300056642</v>
      </c>
      <c r="D346" s="43" t="s">
        <v>166</v>
      </c>
      <c r="E346" s="45">
        <v>70</v>
      </c>
      <c r="F346" s="43" t="s">
        <v>6</v>
      </c>
      <c r="G346" s="41">
        <f t="shared" si="6"/>
        <v>0</v>
      </c>
    </row>
    <row r="347" spans="1:7" x14ac:dyDescent="0.35">
      <c r="A347" s="43">
        <v>300066507</v>
      </c>
      <c r="B347" s="44" t="s">
        <v>165</v>
      </c>
      <c r="C347" s="43">
        <v>400040043</v>
      </c>
      <c r="D347" s="43" t="s">
        <v>10</v>
      </c>
      <c r="E347" s="45">
        <v>1</v>
      </c>
      <c r="F347" s="43" t="s">
        <v>6</v>
      </c>
      <c r="G347" s="41">
        <f t="shared" si="6"/>
        <v>0</v>
      </c>
    </row>
    <row r="348" spans="1:7" x14ac:dyDescent="0.35">
      <c r="A348" s="43">
        <v>300066507</v>
      </c>
      <c r="B348" s="44" t="s">
        <v>165</v>
      </c>
      <c r="C348" s="43">
        <v>400030451</v>
      </c>
      <c r="D348" s="43" t="s">
        <v>122</v>
      </c>
      <c r="E348" s="45">
        <v>10</v>
      </c>
      <c r="F348" s="43" t="s">
        <v>6</v>
      </c>
      <c r="G348" s="41">
        <f t="shared" si="6"/>
        <v>0</v>
      </c>
    </row>
    <row r="349" spans="1:7" x14ac:dyDescent="0.35">
      <c r="A349" s="43">
        <v>300066820</v>
      </c>
      <c r="B349" s="44" t="s">
        <v>167</v>
      </c>
      <c r="C349" s="43">
        <v>400052373</v>
      </c>
      <c r="D349" s="43" t="s">
        <v>150</v>
      </c>
      <c r="E349" s="45">
        <v>1</v>
      </c>
      <c r="F349" s="43" t="s">
        <v>6</v>
      </c>
      <c r="G349" s="41">
        <f t="shared" si="6"/>
        <v>0</v>
      </c>
    </row>
    <row r="350" spans="1:7" x14ac:dyDescent="0.35">
      <c r="A350" s="43">
        <v>300066820</v>
      </c>
      <c r="B350" s="44" t="s">
        <v>167</v>
      </c>
      <c r="C350" s="43">
        <v>300056063</v>
      </c>
      <c r="D350" s="43" t="s">
        <v>153</v>
      </c>
      <c r="E350" s="45">
        <v>70</v>
      </c>
      <c r="F350" s="43" t="s">
        <v>6</v>
      </c>
      <c r="G350" s="41">
        <f t="shared" si="6"/>
        <v>0</v>
      </c>
    </row>
    <row r="351" spans="1:7" x14ac:dyDescent="0.35">
      <c r="A351" s="43">
        <v>300066820</v>
      </c>
      <c r="B351" s="44" t="s">
        <v>167</v>
      </c>
      <c r="C351" s="43">
        <v>400040043</v>
      </c>
      <c r="D351" s="43" t="s">
        <v>10</v>
      </c>
      <c r="E351" s="45">
        <v>1</v>
      </c>
      <c r="F351" s="43" t="s">
        <v>6</v>
      </c>
      <c r="G351" s="41">
        <f t="shared" si="6"/>
        <v>0</v>
      </c>
    </row>
    <row r="352" spans="1:7" x14ac:dyDescent="0.35">
      <c r="A352" s="43">
        <v>300066820</v>
      </c>
      <c r="B352" s="44" t="s">
        <v>167</v>
      </c>
      <c r="C352" s="43">
        <v>400030451</v>
      </c>
      <c r="D352" s="43" t="s">
        <v>122</v>
      </c>
      <c r="E352" s="45">
        <v>10</v>
      </c>
      <c r="F352" s="43" t="s">
        <v>6</v>
      </c>
      <c r="G352" s="41">
        <f t="shared" si="6"/>
        <v>0</v>
      </c>
    </row>
    <row r="353" spans="1:7" x14ac:dyDescent="0.35">
      <c r="A353" s="43">
        <v>300066509</v>
      </c>
      <c r="B353" s="44" t="s">
        <v>168</v>
      </c>
      <c r="C353" s="43">
        <v>400052673</v>
      </c>
      <c r="D353" s="43" t="s">
        <v>137</v>
      </c>
      <c r="E353" s="45">
        <v>1</v>
      </c>
      <c r="F353" s="43" t="s">
        <v>6</v>
      </c>
      <c r="G353" s="41">
        <f t="shared" si="6"/>
        <v>0</v>
      </c>
    </row>
    <row r="354" spans="1:7" x14ac:dyDescent="0.35">
      <c r="A354" s="43">
        <v>300066509</v>
      </c>
      <c r="B354" s="44" t="s">
        <v>168</v>
      </c>
      <c r="C354" s="43">
        <v>300057325</v>
      </c>
      <c r="D354" s="43" t="s">
        <v>169</v>
      </c>
      <c r="E354" s="45">
        <v>28</v>
      </c>
      <c r="F354" s="43" t="s">
        <v>6</v>
      </c>
      <c r="G354" s="41">
        <f t="shared" si="6"/>
        <v>0</v>
      </c>
    </row>
    <row r="355" spans="1:7" x14ac:dyDescent="0.35">
      <c r="A355" s="43">
        <v>300066509</v>
      </c>
      <c r="B355" s="44" t="s">
        <v>168</v>
      </c>
      <c r="C355" s="43">
        <v>400040043</v>
      </c>
      <c r="D355" s="43" t="s">
        <v>10</v>
      </c>
      <c r="E355" s="45">
        <v>1</v>
      </c>
      <c r="F355" s="43" t="s">
        <v>6</v>
      </c>
      <c r="G355" s="41">
        <f t="shared" si="6"/>
        <v>0</v>
      </c>
    </row>
    <row r="356" spans="1:7" x14ac:dyDescent="0.35">
      <c r="A356" s="43">
        <v>300066509</v>
      </c>
      <c r="B356" s="44" t="s">
        <v>168</v>
      </c>
      <c r="C356" s="43">
        <v>400030451</v>
      </c>
      <c r="D356" s="43" t="s">
        <v>122</v>
      </c>
      <c r="E356" s="45">
        <v>4</v>
      </c>
      <c r="F356" s="43" t="s">
        <v>6</v>
      </c>
      <c r="G356" s="41">
        <f t="shared" si="6"/>
        <v>0</v>
      </c>
    </row>
    <row r="357" spans="1:7" x14ac:dyDescent="0.35">
      <c r="A357" s="43">
        <v>300066508</v>
      </c>
      <c r="B357" s="44" t="s">
        <v>170</v>
      </c>
      <c r="C357" s="43">
        <v>400052673</v>
      </c>
      <c r="D357" s="43" t="s">
        <v>137</v>
      </c>
      <c r="E357" s="45">
        <v>1</v>
      </c>
      <c r="F357" s="43" t="s">
        <v>6</v>
      </c>
      <c r="G357" s="41">
        <f t="shared" si="6"/>
        <v>0</v>
      </c>
    </row>
    <row r="358" spans="1:7" x14ac:dyDescent="0.35">
      <c r="A358" s="43">
        <v>300066508</v>
      </c>
      <c r="B358" s="44" t="s">
        <v>170</v>
      </c>
      <c r="C358" s="43">
        <v>300057318</v>
      </c>
      <c r="D358" s="43" t="s">
        <v>171</v>
      </c>
      <c r="E358" s="45">
        <v>28</v>
      </c>
      <c r="F358" s="43" t="s">
        <v>6</v>
      </c>
      <c r="G358" s="41">
        <f t="shared" si="6"/>
        <v>0</v>
      </c>
    </row>
    <row r="359" spans="1:7" x14ac:dyDescent="0.35">
      <c r="A359" s="43">
        <v>300066508</v>
      </c>
      <c r="B359" s="44" t="s">
        <v>170</v>
      </c>
      <c r="C359" s="43">
        <v>400040043</v>
      </c>
      <c r="D359" s="43" t="s">
        <v>10</v>
      </c>
      <c r="E359" s="45">
        <v>1</v>
      </c>
      <c r="F359" s="43" t="s">
        <v>6</v>
      </c>
      <c r="G359" s="41">
        <f t="shared" si="6"/>
        <v>0</v>
      </c>
    </row>
    <row r="360" spans="1:7" x14ac:dyDescent="0.35">
      <c r="A360" s="43">
        <v>300066508</v>
      </c>
      <c r="B360" s="44" t="s">
        <v>170</v>
      </c>
      <c r="C360" s="43">
        <v>400030451</v>
      </c>
      <c r="D360" s="43" t="s">
        <v>122</v>
      </c>
      <c r="E360" s="45">
        <v>4</v>
      </c>
      <c r="F360" s="43" t="s">
        <v>6</v>
      </c>
      <c r="G360" s="41">
        <f t="shared" si="6"/>
        <v>0</v>
      </c>
    </row>
    <row r="361" spans="1:7" x14ac:dyDescent="0.35">
      <c r="A361" s="43">
        <v>300066970</v>
      </c>
      <c r="B361" s="44" t="s">
        <v>172</v>
      </c>
      <c r="C361" s="43">
        <v>400068807</v>
      </c>
      <c r="D361" s="43" t="s">
        <v>173</v>
      </c>
      <c r="E361" s="45">
        <v>1</v>
      </c>
      <c r="F361" s="43" t="s">
        <v>6</v>
      </c>
      <c r="G361" s="41">
        <f t="shared" si="6"/>
        <v>0</v>
      </c>
    </row>
    <row r="362" spans="1:7" x14ac:dyDescent="0.35">
      <c r="A362" s="43">
        <v>300066970</v>
      </c>
      <c r="B362" s="44" t="s">
        <v>172</v>
      </c>
      <c r="C362" s="43">
        <v>300066631</v>
      </c>
      <c r="D362" s="43" t="s">
        <v>174</v>
      </c>
      <c r="E362" s="45">
        <v>15</v>
      </c>
      <c r="F362" s="43" t="s">
        <v>6</v>
      </c>
      <c r="G362" s="41">
        <f t="shared" si="6"/>
        <v>0</v>
      </c>
    </row>
    <row r="363" spans="1:7" x14ac:dyDescent="0.35">
      <c r="A363" s="43">
        <v>300066970</v>
      </c>
      <c r="B363" s="44" t="s">
        <v>172</v>
      </c>
      <c r="C363" s="43">
        <v>400040043</v>
      </c>
      <c r="D363" s="43" t="s">
        <v>10</v>
      </c>
      <c r="E363" s="45">
        <v>1</v>
      </c>
      <c r="F363" s="43" t="s">
        <v>6</v>
      </c>
      <c r="G363" s="41">
        <f t="shared" si="6"/>
        <v>0</v>
      </c>
    </row>
    <row r="364" spans="1:7" x14ac:dyDescent="0.35">
      <c r="A364" s="43">
        <v>300066971</v>
      </c>
      <c r="B364" s="44" t="s">
        <v>175</v>
      </c>
      <c r="C364" s="43">
        <v>400068807</v>
      </c>
      <c r="D364" s="43" t="s">
        <v>173</v>
      </c>
      <c r="E364" s="45">
        <v>1</v>
      </c>
      <c r="F364" s="43" t="s">
        <v>6</v>
      </c>
      <c r="G364" s="41">
        <f t="shared" si="6"/>
        <v>0</v>
      </c>
    </row>
    <row r="365" spans="1:7" x14ac:dyDescent="0.35">
      <c r="A365" s="43">
        <v>300066971</v>
      </c>
      <c r="B365" s="44" t="s">
        <v>175</v>
      </c>
      <c r="C365" s="43">
        <v>300066632</v>
      </c>
      <c r="D365" s="43" t="s">
        <v>176</v>
      </c>
      <c r="E365" s="45">
        <v>15</v>
      </c>
      <c r="F365" s="43" t="s">
        <v>6</v>
      </c>
      <c r="G365" s="41">
        <f t="shared" ref="G365:G419" si="7">+$G$3*E365</f>
        <v>0</v>
      </c>
    </row>
    <row r="366" spans="1:7" x14ac:dyDescent="0.35">
      <c r="A366" s="43">
        <v>300066971</v>
      </c>
      <c r="B366" s="44" t="s">
        <v>175</v>
      </c>
      <c r="C366" s="43">
        <v>400040043</v>
      </c>
      <c r="D366" s="43" t="s">
        <v>10</v>
      </c>
      <c r="E366" s="45">
        <v>1</v>
      </c>
      <c r="F366" s="43" t="s">
        <v>6</v>
      </c>
      <c r="G366" s="41">
        <f t="shared" si="7"/>
        <v>0</v>
      </c>
    </row>
    <row r="367" spans="1:7" x14ac:dyDescent="0.35">
      <c r="A367" s="43">
        <v>300066644</v>
      </c>
      <c r="B367" s="44" t="s">
        <v>177</v>
      </c>
      <c r="C367" s="43">
        <v>300056037</v>
      </c>
      <c r="D367" s="43" t="s">
        <v>5</v>
      </c>
      <c r="E367" s="45">
        <v>24</v>
      </c>
      <c r="F367" s="43" t="s">
        <v>6</v>
      </c>
      <c r="G367" s="41">
        <f t="shared" si="7"/>
        <v>0</v>
      </c>
    </row>
    <row r="368" spans="1:7" x14ac:dyDescent="0.35">
      <c r="A368" s="43">
        <v>300066644</v>
      </c>
      <c r="B368" s="44" t="s">
        <v>177</v>
      </c>
      <c r="C368" s="43">
        <v>300056038</v>
      </c>
      <c r="D368" s="43" t="s">
        <v>7</v>
      </c>
      <c r="E368" s="45">
        <v>24</v>
      </c>
      <c r="F368" s="43" t="s">
        <v>6</v>
      </c>
      <c r="G368" s="41">
        <f t="shared" si="7"/>
        <v>0</v>
      </c>
    </row>
    <row r="369" spans="1:7" x14ac:dyDescent="0.35">
      <c r="A369" s="43">
        <v>300066644</v>
      </c>
      <c r="B369" s="44" t="s">
        <v>177</v>
      </c>
      <c r="C369" s="43">
        <v>300056039</v>
      </c>
      <c r="D369" s="43" t="s">
        <v>8</v>
      </c>
      <c r="E369" s="45">
        <v>24</v>
      </c>
      <c r="F369" s="43" t="s">
        <v>6</v>
      </c>
      <c r="G369" s="41">
        <f t="shared" si="7"/>
        <v>0</v>
      </c>
    </row>
    <row r="370" spans="1:7" x14ac:dyDescent="0.35">
      <c r="A370" s="43">
        <v>300066644</v>
      </c>
      <c r="B370" s="44" t="s">
        <v>177</v>
      </c>
      <c r="C370" s="43">
        <v>400052373</v>
      </c>
      <c r="D370" s="43" t="s">
        <v>178</v>
      </c>
      <c r="E370" s="45">
        <v>1</v>
      </c>
      <c r="F370" s="43" t="s">
        <v>6</v>
      </c>
      <c r="G370" s="41">
        <f t="shared" si="7"/>
        <v>0</v>
      </c>
    </row>
    <row r="371" spans="1:7" x14ac:dyDescent="0.35">
      <c r="A371" s="43">
        <v>300066644</v>
      </c>
      <c r="B371" s="44" t="s">
        <v>177</v>
      </c>
      <c r="C371" s="43">
        <v>400040043</v>
      </c>
      <c r="D371" s="43" t="s">
        <v>10</v>
      </c>
      <c r="E371" s="45">
        <v>1</v>
      </c>
      <c r="F371" s="43" t="s">
        <v>6</v>
      </c>
      <c r="G371" s="41">
        <f t="shared" si="7"/>
        <v>0</v>
      </c>
    </row>
    <row r="372" spans="1:7" x14ac:dyDescent="0.35">
      <c r="A372" s="43">
        <v>300066644</v>
      </c>
      <c r="B372" s="44" t="s">
        <v>177</v>
      </c>
      <c r="C372" s="43">
        <v>400063610</v>
      </c>
      <c r="D372" s="43" t="s">
        <v>11</v>
      </c>
      <c r="E372" s="45">
        <v>3</v>
      </c>
      <c r="F372" s="43" t="s">
        <v>6</v>
      </c>
      <c r="G372" s="41">
        <f t="shared" si="7"/>
        <v>0</v>
      </c>
    </row>
    <row r="373" spans="1:7" x14ac:dyDescent="0.35">
      <c r="A373" s="43">
        <v>300066103</v>
      </c>
      <c r="B373" s="44" t="s">
        <v>179</v>
      </c>
      <c r="C373" s="43">
        <v>300033977</v>
      </c>
      <c r="D373" s="43" t="s">
        <v>13</v>
      </c>
      <c r="E373" s="45">
        <v>60</v>
      </c>
      <c r="F373" s="43" t="s">
        <v>6</v>
      </c>
      <c r="G373" s="41">
        <f t="shared" si="7"/>
        <v>0</v>
      </c>
    </row>
    <row r="374" spans="1:7" x14ac:dyDescent="0.35">
      <c r="A374" s="43">
        <v>300066103</v>
      </c>
      <c r="B374" s="44" t="s">
        <v>179</v>
      </c>
      <c r="C374" s="43">
        <v>300056038</v>
      </c>
      <c r="D374" s="43" t="s">
        <v>7</v>
      </c>
      <c r="E374" s="45">
        <v>10</v>
      </c>
      <c r="F374" s="43" t="s">
        <v>6</v>
      </c>
      <c r="G374" s="41">
        <f t="shared" si="7"/>
        <v>0</v>
      </c>
    </row>
    <row r="375" spans="1:7" x14ac:dyDescent="0.35">
      <c r="A375" s="43">
        <v>300066103</v>
      </c>
      <c r="B375" s="44" t="s">
        <v>179</v>
      </c>
      <c r="C375" s="43">
        <v>400040043</v>
      </c>
      <c r="D375" s="43" t="s">
        <v>10</v>
      </c>
      <c r="E375" s="45">
        <v>1</v>
      </c>
      <c r="F375" s="43" t="s">
        <v>6</v>
      </c>
      <c r="G375" s="41">
        <f t="shared" si="7"/>
        <v>0</v>
      </c>
    </row>
    <row r="376" spans="1:7" x14ac:dyDescent="0.35">
      <c r="A376" s="43">
        <v>300066103</v>
      </c>
      <c r="B376" s="44" t="s">
        <v>179</v>
      </c>
      <c r="C376" s="43">
        <v>400030922</v>
      </c>
      <c r="D376" s="43" t="s">
        <v>14</v>
      </c>
      <c r="E376" s="45">
        <v>4</v>
      </c>
      <c r="F376" s="43" t="s">
        <v>15</v>
      </c>
      <c r="G376" s="41">
        <f t="shared" si="7"/>
        <v>0</v>
      </c>
    </row>
    <row r="377" spans="1:7" x14ac:dyDescent="0.35">
      <c r="A377" s="43">
        <v>300066103</v>
      </c>
      <c r="B377" s="44" t="s">
        <v>179</v>
      </c>
      <c r="C377" s="43">
        <v>400052373</v>
      </c>
      <c r="D377" s="43" t="s">
        <v>178</v>
      </c>
      <c r="E377" s="45">
        <v>1</v>
      </c>
      <c r="F377" s="43" t="s">
        <v>6</v>
      </c>
      <c r="G377" s="41">
        <f t="shared" si="7"/>
        <v>0</v>
      </c>
    </row>
    <row r="378" spans="1:7" x14ac:dyDescent="0.35">
      <c r="A378" s="43">
        <v>300066103</v>
      </c>
      <c r="B378" s="44" t="s">
        <v>179</v>
      </c>
      <c r="C378" s="43">
        <v>400030959</v>
      </c>
      <c r="D378" s="43" t="s">
        <v>16</v>
      </c>
      <c r="E378" s="45">
        <v>5</v>
      </c>
      <c r="F378" s="43" t="s">
        <v>6</v>
      </c>
      <c r="G378" s="41">
        <f t="shared" si="7"/>
        <v>0</v>
      </c>
    </row>
    <row r="379" spans="1:7" x14ac:dyDescent="0.35">
      <c r="A379" s="43">
        <v>300066103</v>
      </c>
      <c r="B379" s="44" t="s">
        <v>179</v>
      </c>
      <c r="C379" s="43">
        <v>400030451</v>
      </c>
      <c r="D379" s="43" t="s">
        <v>17</v>
      </c>
      <c r="E379" s="45">
        <v>5</v>
      </c>
      <c r="F379" s="43" t="s">
        <v>6</v>
      </c>
      <c r="G379" s="41">
        <f t="shared" si="7"/>
        <v>0</v>
      </c>
    </row>
    <row r="380" spans="1:7" x14ac:dyDescent="0.35">
      <c r="A380" s="43">
        <v>300066479</v>
      </c>
      <c r="B380" s="44" t="s">
        <v>180</v>
      </c>
      <c r="C380" s="43">
        <v>300056022</v>
      </c>
      <c r="D380" s="43" t="s">
        <v>19</v>
      </c>
      <c r="E380" s="45">
        <v>48</v>
      </c>
      <c r="F380" s="43" t="s">
        <v>6</v>
      </c>
      <c r="G380" s="41">
        <f t="shared" si="7"/>
        <v>0</v>
      </c>
    </row>
    <row r="381" spans="1:7" x14ac:dyDescent="0.35">
      <c r="A381" s="43">
        <v>300066479</v>
      </c>
      <c r="B381" s="44" t="s">
        <v>180</v>
      </c>
      <c r="C381" s="43">
        <v>300065338</v>
      </c>
      <c r="D381" s="43" t="s">
        <v>20</v>
      </c>
      <c r="E381" s="45">
        <v>4</v>
      </c>
      <c r="F381" s="43" t="s">
        <v>6</v>
      </c>
      <c r="G381" s="41">
        <f t="shared" si="7"/>
        <v>0</v>
      </c>
    </row>
    <row r="382" spans="1:7" x14ac:dyDescent="0.35">
      <c r="A382" s="43">
        <v>300066479</v>
      </c>
      <c r="B382" s="44" t="s">
        <v>180</v>
      </c>
      <c r="C382" s="43">
        <v>400040043</v>
      </c>
      <c r="D382" s="43" t="s">
        <v>10</v>
      </c>
      <c r="E382" s="45">
        <v>1</v>
      </c>
      <c r="F382" s="43" t="s">
        <v>6</v>
      </c>
      <c r="G382" s="41">
        <f t="shared" si="7"/>
        <v>0</v>
      </c>
    </row>
    <row r="383" spans="1:7" x14ac:dyDescent="0.35">
      <c r="A383" s="43">
        <v>300066479</v>
      </c>
      <c r="B383" s="44" t="s">
        <v>180</v>
      </c>
      <c r="C383" s="43">
        <v>400052671</v>
      </c>
      <c r="D383" s="43" t="s">
        <v>163</v>
      </c>
      <c r="E383" s="45">
        <v>1</v>
      </c>
      <c r="F383" s="43" t="s">
        <v>6</v>
      </c>
      <c r="G383" s="41">
        <f t="shared" si="7"/>
        <v>0</v>
      </c>
    </row>
    <row r="384" spans="1:7" x14ac:dyDescent="0.35">
      <c r="A384" s="43">
        <v>300066479</v>
      </c>
      <c r="B384" s="44" t="s">
        <v>180</v>
      </c>
      <c r="C384" s="43">
        <v>400030922</v>
      </c>
      <c r="D384" s="43" t="s">
        <v>14</v>
      </c>
      <c r="E384" s="45">
        <v>4</v>
      </c>
      <c r="F384" s="43" t="s">
        <v>15</v>
      </c>
      <c r="G384" s="41">
        <f t="shared" si="7"/>
        <v>0</v>
      </c>
    </row>
    <row r="385" spans="1:7" x14ac:dyDescent="0.35">
      <c r="A385" s="43">
        <v>300066479</v>
      </c>
      <c r="B385" s="44" t="s">
        <v>180</v>
      </c>
      <c r="C385" s="43">
        <v>400030451</v>
      </c>
      <c r="D385" s="43" t="s">
        <v>17</v>
      </c>
      <c r="E385" s="45">
        <v>4</v>
      </c>
      <c r="F385" s="43" t="s">
        <v>6</v>
      </c>
      <c r="G385" s="41">
        <f t="shared" si="7"/>
        <v>0</v>
      </c>
    </row>
    <row r="386" spans="1:7" x14ac:dyDescent="0.35">
      <c r="A386" s="43">
        <v>300066478</v>
      </c>
      <c r="B386" s="44" t="s">
        <v>181</v>
      </c>
      <c r="C386" s="43">
        <v>300055844</v>
      </c>
      <c r="D386" s="43" t="s">
        <v>23</v>
      </c>
      <c r="E386" s="45">
        <v>48</v>
      </c>
      <c r="F386" s="43" t="s">
        <v>6</v>
      </c>
      <c r="G386" s="41">
        <f t="shared" si="7"/>
        <v>0</v>
      </c>
    </row>
    <row r="387" spans="1:7" x14ac:dyDescent="0.35">
      <c r="A387" s="43">
        <v>300066478</v>
      </c>
      <c r="B387" s="44" t="s">
        <v>181</v>
      </c>
      <c r="C387" s="43">
        <v>300065339</v>
      </c>
      <c r="D387" s="43" t="s">
        <v>24</v>
      </c>
      <c r="E387" s="45">
        <v>4</v>
      </c>
      <c r="F387" s="43" t="s">
        <v>6</v>
      </c>
      <c r="G387" s="41">
        <f t="shared" si="7"/>
        <v>0</v>
      </c>
    </row>
    <row r="388" spans="1:7" x14ac:dyDescent="0.35">
      <c r="A388" s="43">
        <v>300066478</v>
      </c>
      <c r="B388" s="44" t="s">
        <v>181</v>
      </c>
      <c r="C388" s="43">
        <v>400040043</v>
      </c>
      <c r="D388" s="43" t="s">
        <v>10</v>
      </c>
      <c r="E388" s="45">
        <v>1</v>
      </c>
      <c r="F388" s="43" t="s">
        <v>6</v>
      </c>
      <c r="G388" s="41">
        <f t="shared" si="7"/>
        <v>0</v>
      </c>
    </row>
    <row r="389" spans="1:7" x14ac:dyDescent="0.35">
      <c r="A389" s="43">
        <v>300066478</v>
      </c>
      <c r="B389" s="44" t="s">
        <v>181</v>
      </c>
      <c r="C389" s="43">
        <v>400052671</v>
      </c>
      <c r="D389" s="43" t="s">
        <v>163</v>
      </c>
      <c r="E389" s="45">
        <v>1</v>
      </c>
      <c r="F389" s="43" t="s">
        <v>6</v>
      </c>
      <c r="G389" s="41">
        <f t="shared" si="7"/>
        <v>0</v>
      </c>
    </row>
    <row r="390" spans="1:7" x14ac:dyDescent="0.35">
      <c r="A390" s="43">
        <v>300066478</v>
      </c>
      <c r="B390" s="44" t="s">
        <v>181</v>
      </c>
      <c r="C390" s="43">
        <v>400030922</v>
      </c>
      <c r="D390" s="43" t="s">
        <v>14</v>
      </c>
      <c r="E390" s="45">
        <v>4</v>
      </c>
      <c r="F390" s="43" t="s">
        <v>15</v>
      </c>
      <c r="G390" s="41">
        <f t="shared" si="7"/>
        <v>0</v>
      </c>
    </row>
    <row r="391" spans="1:7" x14ac:dyDescent="0.35">
      <c r="A391" s="43">
        <v>300066478</v>
      </c>
      <c r="B391" s="44" t="s">
        <v>181</v>
      </c>
      <c r="C391" s="43">
        <v>400030451</v>
      </c>
      <c r="D391" s="43" t="s">
        <v>17</v>
      </c>
      <c r="E391" s="45">
        <v>4</v>
      </c>
      <c r="F391" s="43" t="s">
        <v>6</v>
      </c>
      <c r="G391" s="41">
        <f t="shared" si="7"/>
        <v>0</v>
      </c>
    </row>
    <row r="392" spans="1:7" x14ac:dyDescent="0.35">
      <c r="A392" s="43">
        <v>300066749</v>
      </c>
      <c r="B392" s="44" t="s">
        <v>182</v>
      </c>
      <c r="C392" s="43">
        <v>300033887</v>
      </c>
      <c r="D392" s="43" t="s">
        <v>26</v>
      </c>
      <c r="E392" s="45">
        <v>60</v>
      </c>
      <c r="F392" s="43" t="s">
        <v>6</v>
      </c>
      <c r="G392" s="41">
        <f t="shared" si="7"/>
        <v>0</v>
      </c>
    </row>
    <row r="393" spans="1:7" x14ac:dyDescent="0.35">
      <c r="A393" s="43">
        <v>300066749</v>
      </c>
      <c r="B393" s="44" t="s">
        <v>182</v>
      </c>
      <c r="C393" s="43">
        <v>300056039</v>
      </c>
      <c r="D393" s="43" t="s">
        <v>8</v>
      </c>
      <c r="E393" s="45">
        <v>10</v>
      </c>
      <c r="F393" s="43" t="s">
        <v>6</v>
      </c>
      <c r="G393" s="41">
        <f t="shared" si="7"/>
        <v>0</v>
      </c>
    </row>
    <row r="394" spans="1:7" x14ac:dyDescent="0.35">
      <c r="A394" s="43">
        <v>300066749</v>
      </c>
      <c r="B394" s="44" t="s">
        <v>182</v>
      </c>
      <c r="C394" s="43">
        <v>400030922</v>
      </c>
      <c r="D394" s="43" t="s">
        <v>14</v>
      </c>
      <c r="E394" s="45">
        <v>4.0999999999999996</v>
      </c>
      <c r="F394" s="43" t="s">
        <v>15</v>
      </c>
      <c r="G394" s="41">
        <f t="shared" si="7"/>
        <v>0</v>
      </c>
    </row>
    <row r="395" spans="1:7" x14ac:dyDescent="0.35">
      <c r="A395" s="43">
        <v>300066749</v>
      </c>
      <c r="B395" s="44" t="s">
        <v>182</v>
      </c>
      <c r="C395" s="43">
        <v>400052373</v>
      </c>
      <c r="D395" s="43" t="s">
        <v>178</v>
      </c>
      <c r="E395" s="45">
        <v>1</v>
      </c>
      <c r="F395" s="43" t="s">
        <v>6</v>
      </c>
      <c r="G395" s="41">
        <f t="shared" si="7"/>
        <v>0</v>
      </c>
    </row>
    <row r="396" spans="1:7" x14ac:dyDescent="0.35">
      <c r="A396" s="43">
        <v>300066749</v>
      </c>
      <c r="B396" s="44" t="s">
        <v>182</v>
      </c>
      <c r="C396" s="43">
        <v>400030959</v>
      </c>
      <c r="D396" s="43" t="s">
        <v>16</v>
      </c>
      <c r="E396" s="45">
        <v>5</v>
      </c>
      <c r="F396" s="43" t="s">
        <v>6</v>
      </c>
      <c r="G396" s="41">
        <f t="shared" si="7"/>
        <v>0</v>
      </c>
    </row>
    <row r="397" spans="1:7" x14ac:dyDescent="0.35">
      <c r="A397" s="43">
        <v>300066749</v>
      </c>
      <c r="B397" s="44" t="s">
        <v>182</v>
      </c>
      <c r="C397" s="43">
        <v>400040043</v>
      </c>
      <c r="D397" s="43" t="s">
        <v>10</v>
      </c>
      <c r="E397" s="45">
        <v>1</v>
      </c>
      <c r="F397" s="43" t="s">
        <v>6</v>
      </c>
      <c r="G397" s="41">
        <f t="shared" si="7"/>
        <v>0</v>
      </c>
    </row>
    <row r="398" spans="1:7" x14ac:dyDescent="0.35">
      <c r="A398" s="43">
        <v>300066749</v>
      </c>
      <c r="B398" s="44" t="s">
        <v>182</v>
      </c>
      <c r="C398" s="43">
        <v>400030451</v>
      </c>
      <c r="D398" s="43" t="s">
        <v>17</v>
      </c>
      <c r="E398" s="45">
        <v>5</v>
      </c>
      <c r="F398" s="43" t="s">
        <v>6</v>
      </c>
      <c r="G398" s="41">
        <f t="shared" si="7"/>
        <v>0</v>
      </c>
    </row>
    <row r="399" spans="1:7" x14ac:dyDescent="0.35">
      <c r="A399" s="43">
        <v>300066477</v>
      </c>
      <c r="B399" s="44" t="s">
        <v>183</v>
      </c>
      <c r="C399" s="43">
        <v>300057390</v>
      </c>
      <c r="D399" s="43" t="s">
        <v>28</v>
      </c>
      <c r="E399" s="45">
        <v>84</v>
      </c>
      <c r="F399" s="43" t="s">
        <v>6</v>
      </c>
      <c r="G399" s="41">
        <f t="shared" si="7"/>
        <v>0</v>
      </c>
    </row>
    <row r="400" spans="1:7" x14ac:dyDescent="0.35">
      <c r="A400" s="43">
        <v>300066477</v>
      </c>
      <c r="B400" s="44" t="s">
        <v>183</v>
      </c>
      <c r="C400" s="43">
        <v>300056056</v>
      </c>
      <c r="D400" s="43" t="s">
        <v>29</v>
      </c>
      <c r="E400" s="45">
        <v>14</v>
      </c>
      <c r="F400" s="43" t="s">
        <v>6</v>
      </c>
      <c r="G400" s="41">
        <f t="shared" si="7"/>
        <v>0</v>
      </c>
    </row>
    <row r="401" spans="1:7" x14ac:dyDescent="0.35">
      <c r="A401" s="43">
        <v>300066477</v>
      </c>
      <c r="B401" s="44" t="s">
        <v>183</v>
      </c>
      <c r="C401" s="43">
        <v>400040043</v>
      </c>
      <c r="D401" s="43" t="s">
        <v>10</v>
      </c>
      <c r="E401" s="45">
        <v>1</v>
      </c>
      <c r="F401" s="43" t="s">
        <v>6</v>
      </c>
      <c r="G401" s="41">
        <f t="shared" si="7"/>
        <v>0</v>
      </c>
    </row>
    <row r="402" spans="1:7" x14ac:dyDescent="0.35">
      <c r="A402" s="43">
        <v>300066477</v>
      </c>
      <c r="B402" s="44" t="s">
        <v>183</v>
      </c>
      <c r="C402" s="43">
        <v>400030922</v>
      </c>
      <c r="D402" s="43" t="s">
        <v>14</v>
      </c>
      <c r="E402" s="45">
        <v>4.34</v>
      </c>
      <c r="F402" s="43" t="s">
        <v>15</v>
      </c>
      <c r="G402" s="41">
        <f t="shared" si="7"/>
        <v>0</v>
      </c>
    </row>
    <row r="403" spans="1:7" x14ac:dyDescent="0.35">
      <c r="A403" s="43">
        <v>300066477</v>
      </c>
      <c r="B403" s="44" t="s">
        <v>183</v>
      </c>
      <c r="C403" s="43">
        <v>400052673</v>
      </c>
      <c r="D403" s="43" t="s">
        <v>137</v>
      </c>
      <c r="E403" s="45">
        <v>1</v>
      </c>
      <c r="F403" s="43" t="s">
        <v>6</v>
      </c>
      <c r="G403" s="41">
        <f t="shared" si="7"/>
        <v>0</v>
      </c>
    </row>
    <row r="404" spans="1:7" x14ac:dyDescent="0.35">
      <c r="A404" s="43">
        <v>300066477</v>
      </c>
      <c r="B404" s="44" t="s">
        <v>183</v>
      </c>
      <c r="C404" s="43">
        <v>400030959</v>
      </c>
      <c r="D404" s="43" t="s">
        <v>16</v>
      </c>
      <c r="E404" s="45">
        <v>7</v>
      </c>
      <c r="F404" s="43" t="s">
        <v>6</v>
      </c>
      <c r="G404" s="41">
        <f>+$G$3*E404</f>
        <v>0</v>
      </c>
    </row>
    <row r="405" spans="1:7" x14ac:dyDescent="0.35">
      <c r="A405" s="43">
        <v>300066477</v>
      </c>
      <c r="B405" s="44" t="s">
        <v>183</v>
      </c>
      <c r="C405" s="43">
        <v>400030451</v>
      </c>
      <c r="D405" s="43" t="s">
        <v>17</v>
      </c>
      <c r="E405" s="45">
        <v>14</v>
      </c>
      <c r="F405" s="43" t="s">
        <v>6</v>
      </c>
      <c r="G405" s="41">
        <f t="shared" si="7"/>
        <v>0</v>
      </c>
    </row>
    <row r="406" spans="1:7" x14ac:dyDescent="0.35">
      <c r="A406" s="43">
        <v>300066770</v>
      </c>
      <c r="B406" s="44" t="s">
        <v>184</v>
      </c>
      <c r="C406" s="43">
        <v>300033914</v>
      </c>
      <c r="D406" s="43" t="s">
        <v>36</v>
      </c>
      <c r="E406" s="45">
        <v>8</v>
      </c>
      <c r="F406" s="43" t="s">
        <v>6</v>
      </c>
      <c r="G406" s="41">
        <f t="shared" si="7"/>
        <v>0</v>
      </c>
    </row>
    <row r="407" spans="1:7" x14ac:dyDescent="0.35">
      <c r="A407" s="43">
        <v>300066770</v>
      </c>
      <c r="B407" s="44" t="s">
        <v>184</v>
      </c>
      <c r="C407" s="43">
        <v>300063074</v>
      </c>
      <c r="D407" s="43" t="s">
        <v>37</v>
      </c>
      <c r="E407" s="45">
        <v>12</v>
      </c>
      <c r="F407" s="43" t="s">
        <v>6</v>
      </c>
      <c r="G407" s="41">
        <f t="shared" si="7"/>
        <v>0</v>
      </c>
    </row>
    <row r="408" spans="1:7" x14ac:dyDescent="0.35">
      <c r="A408" s="43">
        <v>300066770</v>
      </c>
      <c r="B408" s="44" t="s">
        <v>184</v>
      </c>
      <c r="C408" s="43">
        <v>300065339</v>
      </c>
      <c r="D408" s="43" t="s">
        <v>24</v>
      </c>
      <c r="E408" s="45">
        <v>4</v>
      </c>
      <c r="F408" s="43" t="s">
        <v>6</v>
      </c>
      <c r="G408" s="41">
        <f t="shared" si="7"/>
        <v>0</v>
      </c>
    </row>
    <row r="409" spans="1:7" x14ac:dyDescent="0.35">
      <c r="A409" s="43">
        <v>300066770</v>
      </c>
      <c r="B409" s="44" t="s">
        <v>184</v>
      </c>
      <c r="C409" s="43">
        <v>300056037</v>
      </c>
      <c r="D409" s="43" t="s">
        <v>5</v>
      </c>
      <c r="E409" s="45">
        <v>8</v>
      </c>
      <c r="F409" s="43" t="s">
        <v>6</v>
      </c>
      <c r="G409" s="41">
        <f t="shared" si="7"/>
        <v>0</v>
      </c>
    </row>
    <row r="410" spans="1:7" x14ac:dyDescent="0.35">
      <c r="A410" s="43">
        <v>300066770</v>
      </c>
      <c r="B410" s="44" t="s">
        <v>184</v>
      </c>
      <c r="C410" s="43">
        <v>300056038</v>
      </c>
      <c r="D410" s="43" t="s">
        <v>7</v>
      </c>
      <c r="E410" s="45">
        <v>8</v>
      </c>
      <c r="F410" s="43" t="s">
        <v>6</v>
      </c>
      <c r="G410" s="41">
        <f t="shared" si="7"/>
        <v>0</v>
      </c>
    </row>
    <row r="411" spans="1:7" x14ac:dyDescent="0.35">
      <c r="A411" s="43">
        <v>300066770</v>
      </c>
      <c r="B411" s="44" t="s">
        <v>184</v>
      </c>
      <c r="C411" s="43">
        <v>300056056</v>
      </c>
      <c r="D411" s="43" t="s">
        <v>29</v>
      </c>
      <c r="E411" s="45">
        <v>8</v>
      </c>
      <c r="F411" s="43" t="s">
        <v>6</v>
      </c>
      <c r="G411" s="41">
        <f t="shared" si="7"/>
        <v>0</v>
      </c>
    </row>
    <row r="412" spans="1:7" x14ac:dyDescent="0.35">
      <c r="A412" s="43">
        <v>300066770</v>
      </c>
      <c r="B412" s="44" t="s">
        <v>184</v>
      </c>
      <c r="C412" s="43">
        <v>300056131</v>
      </c>
      <c r="D412" s="43" t="s">
        <v>44</v>
      </c>
      <c r="E412" s="45">
        <v>8</v>
      </c>
      <c r="F412" s="43" t="s">
        <v>6</v>
      </c>
      <c r="G412" s="41">
        <f t="shared" si="7"/>
        <v>0</v>
      </c>
    </row>
    <row r="413" spans="1:7" x14ac:dyDescent="0.35">
      <c r="A413" s="43">
        <v>300066770</v>
      </c>
      <c r="B413" s="44" t="s">
        <v>184</v>
      </c>
      <c r="C413" s="43">
        <v>300057925</v>
      </c>
      <c r="D413" s="43" t="s">
        <v>38</v>
      </c>
      <c r="E413" s="45">
        <v>8</v>
      </c>
      <c r="F413" s="43" t="s">
        <v>6</v>
      </c>
      <c r="G413" s="41">
        <f t="shared" si="7"/>
        <v>0</v>
      </c>
    </row>
    <row r="414" spans="1:7" x14ac:dyDescent="0.35">
      <c r="A414" s="43">
        <v>300066770</v>
      </c>
      <c r="B414" s="44" t="s">
        <v>184</v>
      </c>
      <c r="C414" s="43">
        <v>300058062</v>
      </c>
      <c r="D414" s="43" t="s">
        <v>45</v>
      </c>
      <c r="E414" s="45">
        <v>8</v>
      </c>
      <c r="F414" s="43" t="s">
        <v>6</v>
      </c>
      <c r="G414" s="41">
        <f t="shared" si="7"/>
        <v>0</v>
      </c>
    </row>
    <row r="415" spans="1:7" x14ac:dyDescent="0.35">
      <c r="A415" s="43">
        <v>300066770</v>
      </c>
      <c r="B415" s="44" t="s">
        <v>184</v>
      </c>
      <c r="C415" s="43">
        <v>300058885</v>
      </c>
      <c r="D415" s="43" t="s">
        <v>40</v>
      </c>
      <c r="E415" s="45">
        <v>8</v>
      </c>
      <c r="F415" s="43" t="s">
        <v>6</v>
      </c>
      <c r="G415" s="41">
        <f t="shared" si="7"/>
        <v>0</v>
      </c>
    </row>
    <row r="416" spans="1:7" x14ac:dyDescent="0.35">
      <c r="A416" s="43">
        <v>300066770</v>
      </c>
      <c r="B416" s="44" t="s">
        <v>184</v>
      </c>
      <c r="C416" s="43">
        <v>300062962</v>
      </c>
      <c r="D416" s="43" t="s">
        <v>46</v>
      </c>
      <c r="E416" s="45">
        <v>8</v>
      </c>
      <c r="F416" s="43" t="s">
        <v>6</v>
      </c>
      <c r="G416" s="41">
        <f t="shared" si="7"/>
        <v>0</v>
      </c>
    </row>
    <row r="417" spans="1:7" x14ac:dyDescent="0.35">
      <c r="A417" s="43">
        <v>300066770</v>
      </c>
      <c r="B417" s="44" t="s">
        <v>184</v>
      </c>
      <c r="C417" s="43">
        <v>400040043</v>
      </c>
      <c r="D417" s="43" t="s">
        <v>10</v>
      </c>
      <c r="E417" s="45">
        <v>1</v>
      </c>
      <c r="F417" s="43" t="s">
        <v>6</v>
      </c>
      <c r="G417" s="41">
        <f t="shared" si="7"/>
        <v>0</v>
      </c>
    </row>
    <row r="418" spans="1:7" x14ac:dyDescent="0.35">
      <c r="A418" s="43">
        <v>300066770</v>
      </c>
      <c r="B418" s="44" t="s">
        <v>184</v>
      </c>
      <c r="C418" s="43">
        <v>400052373</v>
      </c>
      <c r="D418" s="43" t="s">
        <v>186</v>
      </c>
      <c r="E418" s="45">
        <v>1</v>
      </c>
      <c r="F418" s="43" t="s">
        <v>6</v>
      </c>
      <c r="G418" s="41">
        <f t="shared" si="7"/>
        <v>0</v>
      </c>
    </row>
    <row r="419" spans="1:7" x14ac:dyDescent="0.35">
      <c r="A419" s="43">
        <v>300066770</v>
      </c>
      <c r="B419" s="44" t="s">
        <v>184</v>
      </c>
      <c r="C419" s="43">
        <v>400068850</v>
      </c>
      <c r="D419" s="43" t="s">
        <v>185</v>
      </c>
      <c r="E419" s="45">
        <v>4</v>
      </c>
      <c r="F419" s="43" t="s">
        <v>6</v>
      </c>
      <c r="G419" s="41">
        <f t="shared" si="7"/>
        <v>0</v>
      </c>
    </row>
    <row r="420" spans="1:7" x14ac:dyDescent="0.35">
      <c r="G420" s="32">
        <f>G354/33</f>
        <v>0</v>
      </c>
    </row>
    <row r="421" spans="1:7" x14ac:dyDescent="0.35">
      <c r="G421" s="25"/>
    </row>
    <row r="422" spans="1:7" x14ac:dyDescent="0.35">
      <c r="G422" s="25">
        <f>G167/120</f>
        <v>0</v>
      </c>
    </row>
    <row r="423" spans="1:7" x14ac:dyDescent="0.35">
      <c r="G423" s="25"/>
    </row>
    <row r="424" spans="1:7" x14ac:dyDescent="0.35">
      <c r="G424" s="25"/>
    </row>
    <row r="425" spans="1:7" x14ac:dyDescent="0.35">
      <c r="G425" s="25"/>
    </row>
    <row r="426" spans="1:7" x14ac:dyDescent="0.35">
      <c r="G426" s="25"/>
    </row>
    <row r="427" spans="1:7" x14ac:dyDescent="0.35">
      <c r="G427" s="25"/>
    </row>
    <row r="428" spans="1:7" x14ac:dyDescent="0.35">
      <c r="G428" s="25"/>
    </row>
    <row r="429" spans="1:7" x14ac:dyDescent="0.35">
      <c r="G429" s="25"/>
    </row>
    <row r="430" spans="1:7" x14ac:dyDescent="0.35">
      <c r="G430" s="25"/>
    </row>
    <row r="431" spans="1:7" x14ac:dyDescent="0.35">
      <c r="G431" s="25"/>
    </row>
    <row r="432" spans="1:7" x14ac:dyDescent="0.35">
      <c r="G432" s="25"/>
    </row>
    <row r="433" spans="7:7" x14ac:dyDescent="0.35">
      <c r="G433" s="25"/>
    </row>
    <row r="434" spans="7:7" x14ac:dyDescent="0.35">
      <c r="G434" s="25"/>
    </row>
    <row r="435" spans="7:7" x14ac:dyDescent="0.35">
      <c r="G435" s="25"/>
    </row>
    <row r="436" spans="7:7" x14ac:dyDescent="0.35">
      <c r="G436" s="25"/>
    </row>
    <row r="437" spans="7:7" x14ac:dyDescent="0.35">
      <c r="G437" s="25"/>
    </row>
    <row r="438" spans="7:7" x14ac:dyDescent="0.35">
      <c r="G438" s="25"/>
    </row>
    <row r="439" spans="7:7" x14ac:dyDescent="0.35">
      <c r="G439" s="25"/>
    </row>
    <row r="440" spans="7:7" x14ac:dyDescent="0.35">
      <c r="G440" s="25"/>
    </row>
    <row r="441" spans="7:7" x14ac:dyDescent="0.35">
      <c r="G441" s="25"/>
    </row>
    <row r="442" spans="7:7" x14ac:dyDescent="0.35">
      <c r="G442" s="25"/>
    </row>
    <row r="443" spans="7:7" x14ac:dyDescent="0.35">
      <c r="G443" s="25"/>
    </row>
    <row r="444" spans="7:7" x14ac:dyDescent="0.35">
      <c r="G444" s="25"/>
    </row>
  </sheetData>
  <autoFilter ref="A3:G420" xr:uid="{00000000-0001-0000-0500-000000000000}"/>
  <conditionalFormatting sqref="D1:D60 D75:D89 D110:D298 D420:D1048576">
    <cfRule type="containsText" dxfId="7" priority="18" operator="containsText" text="ALIMENTAR EN EMBALAJES">
      <formula>NOT(ISERROR(SEARCH("ALIMENTAR EN EMBALAJES",D1)))</formula>
    </cfRule>
  </conditionalFormatting>
  <conditionalFormatting sqref="D92:D109">
    <cfRule type="containsText" dxfId="6" priority="21" operator="containsText" text="ALIMENTAR EN EMBALAJES">
      <formula>NOT(ISERROR(SEARCH("ALIMENTAR EN EMBALAJES",D92)))</formula>
    </cfRule>
  </conditionalFormatting>
  <conditionalFormatting sqref="XBS97 B3 C88:C298 C1:C86 C299:D1048576 D1:D90 D92:D298">
    <cfRule type="expression" dxfId="5" priority="6">
      <formula>#REF!="ALIMENTAR EN ANALISIS"</formula>
    </cfRule>
  </conditionalFormatting>
  <conditionalFormatting sqref="XBS301">
    <cfRule type="expression" dxfId="4" priority="13">
      <formula>#REF!="ALIMENTAR EN ANALISIS"</formula>
    </cfRule>
  </conditionalFormatting>
  <conditionalFormatting sqref="XBT97 D89:D102">
    <cfRule type="expression" dxfId="3" priority="7">
      <formula>#REF!="ALIMENTAR EN ANALISIS"</formula>
    </cfRule>
    <cfRule type="containsText" dxfId="2" priority="8" operator="containsText" text="ALIMENTAR EN EMBALAJES">
      <formula>NOT(ISERROR(SEARCH("ALIMENTAR EN EMBALAJES",D89)))</formula>
    </cfRule>
  </conditionalFormatting>
  <conditionalFormatting sqref="XBT301">
    <cfRule type="expression" dxfId="1" priority="11">
      <formula>#REF!="ALIMENTAR EN ANALISIS"</formula>
    </cfRule>
    <cfRule type="containsText" dxfId="0" priority="12" operator="containsText" text="ALIMENTAR EN EMBALAJES">
      <formula>NOT(ISERROR(SEARCH("ALIMENTAR EN EMBALAJES",XBT301)))</formula>
    </cfRule>
  </conditionalFormatting>
  <pageMargins left="0.7" right="0.7" top="0.75" bottom="0.75" header="0.3" footer="0.3"/>
  <pageSetup orientation="portrait" verticalDpi="597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 Programación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CUERVO JIMENEZ, EDWIN ARLEY {PEP}</dc:creator>
  <cp:lastModifiedBy>CUERVO JIMENEZ, EDWIN ARLEY {PEP}</cp:lastModifiedBy>
  <dcterms:created xsi:type="dcterms:W3CDTF">2026-07-01T15:21:10Z</dcterms:created>
  <dcterms:modified xsi:type="dcterms:W3CDTF">2026-07-01T15:22:14Z</dcterms:modified>
</cp:coreProperties>
</file>